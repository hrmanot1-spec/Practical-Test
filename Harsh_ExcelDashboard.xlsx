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Project Guide" sheetId="4" state="visible" r:id="rId4"/>
  </sheets>
  <definedNames>
    <definedName name="_xlnm._FilterDatabase" localSheetId="1" hidden="1">'Raw Data'!$A$1:$L$301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₹#,##0.00"/>
    <numFmt numFmtId="167" formatCode="0.0%"/>
    <numFmt numFmtId="168" formatCode="₹#,##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color rgb="00FFFFFF"/>
      <sz val="20"/>
    </font>
    <font>
      <i val="1"/>
      <color rgb="00666666"/>
    </font>
    <font>
      <b val="1"/>
      <color rgb="00FFFFFF"/>
      <sz val="10"/>
    </font>
    <font>
      <b val="1"/>
      <color rgb="0017365D"/>
      <sz val="17"/>
    </font>
    <font>
      <b val="1"/>
      <color rgb="0017365D"/>
    </font>
    <font>
      <b val="1"/>
      <color rgb="000F6B78"/>
      <sz val="12"/>
    </font>
    <font>
      <i val="1"/>
      <color rgb="007F6000"/>
      <sz val="9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0F6B78"/>
      </patternFill>
    </fill>
    <fill>
      <patternFill patternType="solid">
        <fgColor rgb="00F4B183"/>
      </patternFill>
    </fill>
    <fill>
      <patternFill patternType="solid">
        <fgColor rgb="00F3F6F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hair">
        <color rgb="00E6E6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0" fillId="5" borderId="0" pivotButton="0" quotePrefix="0" xfId="0"/>
    <xf numFmtId="168" fontId="7" fillId="4" borderId="0" applyAlignment="1" pivotButton="0" quotePrefix="0" xfId="0">
      <alignment horizontal="center" vertical="center"/>
    </xf>
    <xf numFmtId="0" fontId="0" fillId="4" borderId="0" pivotButton="0" quotePrefix="0" xfId="0"/>
    <xf numFmtId="3" fontId="7" fillId="4" borderId="0" applyAlignment="1" pivotButton="0" quotePrefix="0" xfId="0">
      <alignment horizontal="center" vertical="center"/>
    </xf>
    <xf numFmtId="167" fontId="7" fillId="4" borderId="0" applyAlignment="1" pivotButton="0" quotePrefix="0" xfId="0">
      <alignment horizontal="center" vertical="center"/>
    </xf>
    <xf numFmtId="0" fontId="8" fillId="0" borderId="0" pivotButton="0" quotePrefix="0" xfId="0"/>
    <xf numFmtId="166" fontId="9" fillId="8" borderId="0" pivotButton="0" quotePrefix="0" xfId="0"/>
    <xf numFmtId="0" fontId="1" fillId="2" borderId="0" pivotButton="0" quotePrefix="0" xfId="0"/>
    <xf numFmtId="0" fontId="0" fillId="7" borderId="0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6" fontId="0" fillId="8" borderId="1" applyAlignment="1" pivotButton="0" quotePrefix="0" xfId="0">
      <alignment vertical="center"/>
    </xf>
    <xf numFmtId="17" fontId="0" fillId="0" borderId="1" applyAlignment="1" pivotButton="0" quotePrefix="0" xfId="0">
      <alignment vertical="center"/>
    </xf>
    <xf numFmtId="3" fontId="0" fillId="8" borderId="1" applyAlignment="1" pivotButton="0" quotePrefix="0" xfId="0">
      <alignment vertical="center"/>
    </xf>
    <xf numFmtId="167" fontId="0" fillId="8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'Analysis'!$E$5:$E$8</f>
            </numRef>
          </cat>
          <val>
            <numRef>
              <f>'Analysis'!$F$5:$F$8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'Analysis'!$A$5:$A$28</f>
            </numRef>
          </cat>
          <val>
            <numRef>
              <f>'Analysis'!$B$5:$B$28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'Analysis'!I4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'Analysis'!$H$5:$H$8</f>
            </numRef>
          </cat>
          <val>
            <numRef>
              <f>'Analysis'!$I$5:$I$8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26</row>
      <rowOff>0</rowOff>
    </from>
    <ext cx="36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RETAIL SALES PERFORMANCE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Dataset: 300 sample retail orders | Period: Jan 2024 – Dec 2025</t>
        </is>
      </c>
    </row>
    <row r="5">
      <c r="A5" s="4" t="inlineStr">
        <is>
          <t>TOTAL REVENUE</t>
        </is>
      </c>
      <c r="B5" s="5" t="n"/>
      <c r="C5" s="5" t="n"/>
      <c r="D5" s="4" t="inlineStr">
        <is>
          <t>TOTAL PROFIT</t>
        </is>
      </c>
      <c r="E5" s="5" t="n"/>
      <c r="F5" s="5" t="n"/>
      <c r="G5" s="4" t="inlineStr">
        <is>
          <t>TOTAL ORDERS</t>
        </is>
      </c>
      <c r="H5" s="5" t="n"/>
      <c r="I5" s="5" t="n"/>
      <c r="J5" s="4" t="inlineStr">
        <is>
          <t>UNITS SOLD</t>
        </is>
      </c>
      <c r="K5" s="5" t="n"/>
      <c r="L5" s="5" t="n"/>
      <c r="M5" s="4" t="inlineStr">
        <is>
          <t>PROFIT MARGIN</t>
        </is>
      </c>
      <c r="N5" s="5" t="n"/>
    </row>
    <row r="6">
      <c r="A6" s="6">
        <f>Analysis!L4</f>
        <v/>
      </c>
      <c r="B6" s="7" t="n"/>
      <c r="C6" s="7" t="n"/>
      <c r="D6" s="6">
        <f>Analysis!L5</f>
        <v/>
      </c>
      <c r="E6" s="7" t="n"/>
      <c r="F6" s="7" t="n"/>
      <c r="G6" s="8">
        <f>Analysis!L6</f>
        <v/>
      </c>
      <c r="H6" s="7" t="n"/>
      <c r="I6" s="7" t="n"/>
      <c r="J6" s="8">
        <f>Analysis!L7</f>
        <v/>
      </c>
      <c r="K6" s="7" t="n"/>
      <c r="L6" s="7" t="n"/>
      <c r="M6" s="9">
        <f>Analysis!L8</f>
        <v/>
      </c>
      <c r="N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9">
      <c r="A9" s="10" t="inlineStr">
        <is>
          <t>Interactive category filter:</t>
        </is>
      </c>
      <c r="C9" t="inlineStr">
        <is>
          <t>All Categories</t>
        </is>
      </c>
      <c r="E9" s="10" t="inlineStr">
        <is>
          <t>Selected category revenue:</t>
        </is>
      </c>
      <c r="G9" s="11">
        <f>IF(C9="All Categories",Analysis!L4,SUMIF('Raw Data'!$D$2:$D$301,C9,'Raw Data'!$J$2:$J$301))</f>
        <v/>
      </c>
    </row>
    <row r="27">
      <c r="A27" s="12" t="inlineStr">
        <is>
          <t>KEY INSIGHTS</t>
        </is>
      </c>
    </row>
    <row r="28" ht="28" customHeight="1">
      <c r="A28" s="13" t="inlineStr">
        <is>
          <t>1. Use the category dropdown to view revenue for a selected category.</t>
        </is>
      </c>
    </row>
    <row r="29" ht="28" customHeight="1">
      <c r="A29" s="13" t="inlineStr">
        <is>
          <t>2. Monthly trend chart helps identify stronger and weaker sales periods.</t>
        </is>
      </c>
    </row>
    <row r="30" ht="28" customHeight="1">
      <c r="A30" s="13" t="inlineStr">
        <is>
          <t>3. Regional pie chart compares each region's contribution to revenue.</t>
        </is>
      </c>
    </row>
    <row r="31" ht="28" customHeight="1">
      <c r="A31" s="13" t="inlineStr">
        <is>
          <t>4. Revenue and profit KPIs summarize overall performance.</t>
        </is>
      </c>
    </row>
    <row r="33" ht="32" customHeight="1">
      <c r="A33" s="14" t="inlineStr">
        <is>
          <t>Note: This workbook uses an illustrative sample dataset for demonstration. If your examiner requires a downloaded Kaggle/UCI dataset, replace the Raw Data sheet with that dataset and update the formulas/ranges.</t>
        </is>
      </c>
    </row>
  </sheetData>
  <mergeCells count="19">
    <mergeCell ref="M6:N7"/>
    <mergeCell ref="A27:C27"/>
    <mergeCell ref="M5:N5"/>
    <mergeCell ref="D6:F7"/>
    <mergeCell ref="A5:C5"/>
    <mergeCell ref="G5:I5"/>
    <mergeCell ref="A29:C29"/>
    <mergeCell ref="A28:C28"/>
    <mergeCell ref="A6:C7"/>
    <mergeCell ref="A3:N3"/>
    <mergeCell ref="J6:L7"/>
    <mergeCell ref="D5:F5"/>
    <mergeCell ref="A31:C31"/>
    <mergeCell ref="G9:I9"/>
    <mergeCell ref="A33:N33"/>
    <mergeCell ref="A30:C30"/>
    <mergeCell ref="A1:N2"/>
    <mergeCell ref="J5:L5"/>
    <mergeCell ref="G6:I7"/>
  </mergeCells>
  <dataValidations count="1">
    <dataValidation sqref="C9" showDropDown="0" showInputMessage="0" showErrorMessage="0" allowBlank="0" type="list">
      <formula1>"All Categories,Electronics,Home &amp; Kitchen,Stationery,Fashion"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8" customWidth="1" min="4" max="4"/>
    <col width="14" customWidth="1" min="5" max="5"/>
    <col width="16" customWidth="1" min="6" max="6"/>
    <col width="12" customWidth="1" min="7" max="7"/>
    <col width="16" customWidth="1" min="8" max="8"/>
    <col width="12" customWidth="1" min="9" max="9"/>
    <col width="16" customWidth="1" min="10" max="10"/>
    <col width="16" customWidth="1" min="11" max="11"/>
    <col width="16" customWidth="1" min="12" max="12"/>
  </cols>
  <sheetData>
    <row r="1">
      <c r="A1" s="15" t="inlineStr">
        <is>
          <t>Order ID</t>
        </is>
      </c>
      <c r="B1" s="15" t="inlineStr">
        <is>
          <t>Order Date</t>
        </is>
      </c>
      <c r="C1" s="15" t="inlineStr">
        <is>
          <t>Product</t>
        </is>
      </c>
      <c r="D1" s="15" t="inlineStr">
        <is>
          <t>Category</t>
        </is>
      </c>
      <c r="E1" s="15" t="inlineStr">
        <is>
          <t>Region</t>
        </is>
      </c>
      <c r="F1" s="15" t="inlineStr">
        <is>
          <t>Sales Channel</t>
        </is>
      </c>
      <c r="G1" s="15" t="inlineStr">
        <is>
          <t>Quantity</t>
        </is>
      </c>
      <c r="H1" s="15" t="inlineStr">
        <is>
          <t>Unit Price (₹)</t>
        </is>
      </c>
      <c r="I1" s="15" t="inlineStr">
        <is>
          <t>Discount</t>
        </is>
      </c>
      <c r="J1" s="15" t="inlineStr">
        <is>
          <t>Revenue (₹)</t>
        </is>
      </c>
      <c r="K1" s="15" t="inlineStr">
        <is>
          <t>Cost (₹)</t>
        </is>
      </c>
      <c r="L1" s="15" t="inlineStr">
        <is>
          <t>Profit (₹)</t>
        </is>
      </c>
    </row>
    <row r="2">
      <c r="A2" s="16" t="inlineStr">
        <is>
          <t>ORD0085</t>
        </is>
      </c>
      <c r="B2" s="17" t="n">
        <v>45294</v>
      </c>
      <c r="C2" s="16" t="inlineStr">
        <is>
          <t>Wallet</t>
        </is>
      </c>
      <c r="D2" s="16" t="inlineStr">
        <is>
          <t>Fashion</t>
        </is>
      </c>
      <c r="E2" s="16" t="inlineStr">
        <is>
          <t>South</t>
        </is>
      </c>
      <c r="F2" s="16" t="inlineStr">
        <is>
          <t>Wholesale</t>
        </is>
      </c>
      <c r="G2" s="16" t="n">
        <v>8</v>
      </c>
      <c r="H2" s="18" t="n">
        <v>713.96</v>
      </c>
      <c r="I2" s="19" t="n">
        <v>0</v>
      </c>
      <c r="J2" s="18" t="n">
        <v>5711.68</v>
      </c>
      <c r="K2" s="18" t="n">
        <v>3397.92</v>
      </c>
      <c r="L2" s="18" t="n">
        <v>2313.76</v>
      </c>
    </row>
    <row r="3">
      <c r="A3" s="16" t="inlineStr">
        <is>
          <t>ORD0224</t>
        </is>
      </c>
      <c r="B3" s="17" t="n">
        <v>45301</v>
      </c>
      <c r="C3" s="16" t="inlineStr">
        <is>
          <t>Notebook Pack</t>
        </is>
      </c>
      <c r="D3" s="16" t="inlineStr">
        <is>
          <t>Stationery</t>
        </is>
      </c>
      <c r="E3" s="16" t="inlineStr">
        <is>
          <t>North</t>
        </is>
      </c>
      <c r="F3" s="16" t="inlineStr">
        <is>
          <t>Wholesale</t>
        </is>
      </c>
      <c r="G3" s="16" t="n">
        <v>6</v>
      </c>
      <c r="H3" s="18" t="n">
        <v>237.4</v>
      </c>
      <c r="I3" s="19" t="n">
        <v>0.15</v>
      </c>
      <c r="J3" s="18" t="n">
        <v>1210.74</v>
      </c>
      <c r="K3" s="18" t="n">
        <v>794.64</v>
      </c>
      <c r="L3" s="18" t="n">
        <v>416.1</v>
      </c>
    </row>
    <row r="4">
      <c r="A4" s="16" t="inlineStr">
        <is>
          <t>ORD0074</t>
        </is>
      </c>
      <c r="B4" s="17" t="n">
        <v>45302</v>
      </c>
      <c r="C4" s="16" t="inlineStr">
        <is>
          <t>Water Bottle</t>
        </is>
      </c>
      <c r="D4" s="16" t="inlineStr">
        <is>
          <t>Home &amp; Kitchen</t>
        </is>
      </c>
      <c r="E4" s="16" t="inlineStr">
        <is>
          <t>North</t>
        </is>
      </c>
      <c r="F4" s="16" t="inlineStr">
        <is>
          <t>Wholesale</t>
        </is>
      </c>
      <c r="G4" s="16" t="n">
        <v>4</v>
      </c>
      <c r="H4" s="18" t="n">
        <v>495.91</v>
      </c>
      <c r="I4" s="19" t="n">
        <v>0.1</v>
      </c>
      <c r="J4" s="18" t="n">
        <v>1785.28</v>
      </c>
      <c r="K4" s="18" t="n">
        <v>1186.04</v>
      </c>
      <c r="L4" s="18" t="n">
        <v>599.24</v>
      </c>
    </row>
    <row r="5">
      <c r="A5" s="16" t="inlineStr">
        <is>
          <t>ORD0213</t>
        </is>
      </c>
      <c r="B5" s="17" t="n">
        <v>45311</v>
      </c>
      <c r="C5" s="16" t="inlineStr">
        <is>
          <t>Cap</t>
        </is>
      </c>
      <c r="D5" s="16" t="inlineStr">
        <is>
          <t>Fashion</t>
        </is>
      </c>
      <c r="E5" s="16" t="inlineStr">
        <is>
          <t>East</t>
        </is>
      </c>
      <c r="F5" s="16" t="inlineStr">
        <is>
          <t>Wholesale</t>
        </is>
      </c>
      <c r="G5" s="16" t="n">
        <v>7</v>
      </c>
      <c r="H5" s="18" t="n">
        <v>316.05</v>
      </c>
      <c r="I5" s="19" t="n">
        <v>0</v>
      </c>
      <c r="J5" s="18" t="n">
        <v>2212.35</v>
      </c>
      <c r="K5" s="18" t="n">
        <v>1386.48</v>
      </c>
      <c r="L5" s="18" t="n">
        <v>825.87</v>
      </c>
    </row>
    <row r="6">
      <c r="A6" s="16" t="inlineStr">
        <is>
          <t>ORD0191</t>
        </is>
      </c>
      <c r="B6" s="17" t="n">
        <v>45318</v>
      </c>
      <c r="C6" s="16" t="inlineStr">
        <is>
          <t>Planner</t>
        </is>
      </c>
      <c r="D6" s="16" t="inlineStr">
        <is>
          <t>Stationery</t>
        </is>
      </c>
      <c r="E6" s="16" t="inlineStr">
        <is>
          <t>West</t>
        </is>
      </c>
      <c r="F6" s="16" t="inlineStr">
        <is>
          <t>Online</t>
        </is>
      </c>
      <c r="G6" s="16" t="n">
        <v>8</v>
      </c>
      <c r="H6" s="18" t="n">
        <v>395.95</v>
      </c>
      <c r="I6" s="19" t="n">
        <v>0.15</v>
      </c>
      <c r="J6" s="18" t="n">
        <v>2692.46</v>
      </c>
      <c r="K6" s="18" t="n">
        <v>1490.92</v>
      </c>
      <c r="L6" s="18" t="n">
        <v>1201.54</v>
      </c>
    </row>
    <row r="7">
      <c r="A7" s="16" t="inlineStr">
        <is>
          <t>ORD0273</t>
        </is>
      </c>
      <c r="B7" s="17" t="n">
        <v>45318</v>
      </c>
      <c r="C7" s="16" t="inlineStr">
        <is>
          <t>Mouse</t>
        </is>
      </c>
      <c r="D7" s="16" t="inlineStr">
        <is>
          <t>Electronics</t>
        </is>
      </c>
      <c r="E7" s="16" t="inlineStr">
        <is>
          <t>West</t>
        </is>
      </c>
      <c r="F7" s="16" t="inlineStr">
        <is>
          <t>Store</t>
        </is>
      </c>
      <c r="G7" s="16" t="n">
        <v>2</v>
      </c>
      <c r="H7" s="18" t="n">
        <v>741.25</v>
      </c>
      <c r="I7" s="19" t="n">
        <v>0.05</v>
      </c>
      <c r="J7" s="18" t="n">
        <v>1408.38</v>
      </c>
      <c r="K7" s="18" t="n">
        <v>1048.63</v>
      </c>
      <c r="L7" s="18" t="n">
        <v>359.75</v>
      </c>
    </row>
    <row r="8">
      <c r="A8" s="16" t="inlineStr">
        <is>
          <t>ORD0096</t>
        </is>
      </c>
      <c r="B8" s="17" t="n">
        <v>45321</v>
      </c>
      <c r="C8" s="16" t="inlineStr">
        <is>
          <t>Lunch Box</t>
        </is>
      </c>
      <c r="D8" s="16" t="inlineStr">
        <is>
          <t>Home &amp; Kitchen</t>
        </is>
      </c>
      <c r="E8" s="16" t="inlineStr">
        <is>
          <t>North</t>
        </is>
      </c>
      <c r="F8" s="16" t="inlineStr">
        <is>
          <t>Online</t>
        </is>
      </c>
      <c r="G8" s="16" t="n">
        <v>5</v>
      </c>
      <c r="H8" s="18" t="n">
        <v>677.8200000000001</v>
      </c>
      <c r="I8" s="19" t="n">
        <v>0.15</v>
      </c>
      <c r="J8" s="18" t="n">
        <v>2880.74</v>
      </c>
      <c r="K8" s="18" t="n">
        <v>1803.57</v>
      </c>
      <c r="L8" s="18" t="n">
        <v>1077.17</v>
      </c>
    </row>
    <row r="9">
      <c r="A9" s="16" t="inlineStr">
        <is>
          <t>ORD0269</t>
        </is>
      </c>
      <c r="B9" s="17" t="n">
        <v>45322</v>
      </c>
      <c r="C9" s="16" t="inlineStr">
        <is>
          <t>Markers</t>
        </is>
      </c>
      <c r="D9" s="16" t="inlineStr">
        <is>
          <t>Stationery</t>
        </is>
      </c>
      <c r="E9" s="16" t="inlineStr">
        <is>
          <t>East</t>
        </is>
      </c>
      <c r="F9" s="16" t="inlineStr">
        <is>
          <t>Online</t>
        </is>
      </c>
      <c r="G9" s="16" t="n">
        <v>8</v>
      </c>
      <c r="H9" s="18" t="n">
        <v>204.57</v>
      </c>
      <c r="I9" s="19" t="n">
        <v>0.15</v>
      </c>
      <c r="J9" s="18" t="n">
        <v>1391.08</v>
      </c>
      <c r="K9" s="18" t="n">
        <v>1063.75</v>
      </c>
      <c r="L9" s="18" t="n">
        <v>327.33</v>
      </c>
    </row>
    <row r="10">
      <c r="A10" s="16" t="inlineStr">
        <is>
          <t>ORD0299</t>
        </is>
      </c>
      <c r="B10" s="17" t="n">
        <v>45325</v>
      </c>
      <c r="C10" s="16" t="inlineStr">
        <is>
          <t>Pens Set</t>
        </is>
      </c>
      <c r="D10" s="16" t="inlineStr">
        <is>
          <t>Stationery</t>
        </is>
      </c>
      <c r="E10" s="16" t="inlineStr">
        <is>
          <t>East</t>
        </is>
      </c>
      <c r="F10" s="16" t="inlineStr">
        <is>
          <t>Wholesale</t>
        </is>
      </c>
      <c r="G10" s="16" t="n">
        <v>5</v>
      </c>
      <c r="H10" s="18" t="n">
        <v>163.6</v>
      </c>
      <c r="I10" s="19" t="n">
        <v>0.1</v>
      </c>
      <c r="J10" s="18" t="n">
        <v>736.2</v>
      </c>
      <c r="K10" s="18" t="n">
        <v>491.1</v>
      </c>
      <c r="L10" s="18" t="n">
        <v>245.1</v>
      </c>
    </row>
    <row r="11">
      <c r="A11" s="16" t="inlineStr">
        <is>
          <t>ORD0065</t>
        </is>
      </c>
      <c r="B11" s="17" t="n">
        <v>45333</v>
      </c>
      <c r="C11" s="16" t="inlineStr">
        <is>
          <t>Keyboard</t>
        </is>
      </c>
      <c r="D11" s="16" t="inlineStr">
        <is>
          <t>Electronics</t>
        </is>
      </c>
      <c r="E11" s="16" t="inlineStr">
        <is>
          <t>North</t>
        </is>
      </c>
      <c r="F11" s="16" t="inlineStr">
        <is>
          <t>Store</t>
        </is>
      </c>
      <c r="G11" s="16" t="n">
        <v>4</v>
      </c>
      <c r="H11" s="18" t="n">
        <v>2058.71</v>
      </c>
      <c r="I11" s="19" t="n">
        <v>0.15</v>
      </c>
      <c r="J11" s="18" t="n">
        <v>6999.61</v>
      </c>
      <c r="K11" s="18" t="n">
        <v>3917.12</v>
      </c>
      <c r="L11" s="18" t="n">
        <v>3082.49</v>
      </c>
    </row>
    <row r="12">
      <c r="A12" s="16" t="inlineStr">
        <is>
          <t>ORD0197</t>
        </is>
      </c>
      <c r="B12" s="17" t="n">
        <v>45334</v>
      </c>
      <c r="C12" s="16" t="inlineStr">
        <is>
          <t>Headphones</t>
        </is>
      </c>
      <c r="D12" s="16" t="inlineStr">
        <is>
          <t>Electronics</t>
        </is>
      </c>
      <c r="E12" s="16" t="inlineStr">
        <is>
          <t>North</t>
        </is>
      </c>
      <c r="F12" s="16" t="inlineStr">
        <is>
          <t>Wholesale</t>
        </is>
      </c>
      <c r="G12" s="16" t="n">
        <v>1</v>
      </c>
      <c r="H12" s="18" t="n">
        <v>1418.39</v>
      </c>
      <c r="I12" s="19" t="n">
        <v>0.15</v>
      </c>
      <c r="J12" s="18" t="n">
        <v>1205.63</v>
      </c>
      <c r="K12" s="18" t="n">
        <v>709.89</v>
      </c>
      <c r="L12" s="18" t="n">
        <v>495.74</v>
      </c>
    </row>
    <row r="13">
      <c r="A13" s="16" t="inlineStr">
        <is>
          <t>ORD0218</t>
        </is>
      </c>
      <c r="B13" s="17" t="n">
        <v>45335</v>
      </c>
      <c r="C13" s="16" t="inlineStr">
        <is>
          <t>Notebook Pack</t>
        </is>
      </c>
      <c r="D13" s="16" t="inlineStr">
        <is>
          <t>Stationery</t>
        </is>
      </c>
      <c r="E13" s="16" t="inlineStr">
        <is>
          <t>North</t>
        </is>
      </c>
      <c r="F13" s="16" t="inlineStr">
        <is>
          <t>Online</t>
        </is>
      </c>
      <c r="G13" s="16" t="n">
        <v>6</v>
      </c>
      <c r="H13" s="18" t="n">
        <v>293.35</v>
      </c>
      <c r="I13" s="19" t="n">
        <v>0.05</v>
      </c>
      <c r="J13" s="18" t="n">
        <v>1672.1</v>
      </c>
      <c r="K13" s="18" t="n">
        <v>1194.39</v>
      </c>
      <c r="L13" s="18" t="n">
        <v>477.71</v>
      </c>
    </row>
    <row r="14">
      <c r="A14" s="16" t="inlineStr">
        <is>
          <t>ORD0129</t>
        </is>
      </c>
      <c r="B14" s="17" t="n">
        <v>45336</v>
      </c>
      <c r="C14" s="16" t="inlineStr">
        <is>
          <t>Markers</t>
        </is>
      </c>
      <c r="D14" s="16" t="inlineStr">
        <is>
          <t>Stationery</t>
        </is>
      </c>
      <c r="E14" s="16" t="inlineStr">
        <is>
          <t>East</t>
        </is>
      </c>
      <c r="F14" s="16" t="inlineStr">
        <is>
          <t>Wholesale</t>
        </is>
      </c>
      <c r="G14" s="16" t="n">
        <v>1</v>
      </c>
      <c r="H14" s="18" t="n">
        <v>191.68</v>
      </c>
      <c r="I14" s="19" t="n">
        <v>0.1</v>
      </c>
      <c r="J14" s="18" t="n">
        <v>172.51</v>
      </c>
      <c r="K14" s="18" t="n">
        <v>127.71</v>
      </c>
      <c r="L14" s="18" t="n">
        <v>44.8</v>
      </c>
    </row>
    <row r="15">
      <c r="A15" s="16" t="inlineStr">
        <is>
          <t>ORD0036</t>
        </is>
      </c>
      <c r="B15" s="17" t="n">
        <v>45337</v>
      </c>
      <c r="C15" s="16" t="inlineStr">
        <is>
          <t>Mouse</t>
        </is>
      </c>
      <c r="D15" s="16" t="inlineStr">
        <is>
          <t>Electronics</t>
        </is>
      </c>
      <c r="E15" s="16" t="inlineStr">
        <is>
          <t>East</t>
        </is>
      </c>
      <c r="F15" s="16" t="inlineStr">
        <is>
          <t>Wholesale</t>
        </is>
      </c>
      <c r="G15" s="16" t="n">
        <v>3</v>
      </c>
      <c r="H15" s="18" t="n">
        <v>751.09</v>
      </c>
      <c r="I15" s="19" t="n">
        <v>0.05</v>
      </c>
      <c r="J15" s="18" t="n">
        <v>2140.61</v>
      </c>
      <c r="K15" s="18" t="n">
        <v>1203.05</v>
      </c>
      <c r="L15" s="18" t="n">
        <v>937.5599999999999</v>
      </c>
    </row>
    <row r="16">
      <c r="A16" s="16" t="inlineStr">
        <is>
          <t>ORD0206</t>
        </is>
      </c>
      <c r="B16" s="17" t="n">
        <v>45338</v>
      </c>
      <c r="C16" s="16" t="inlineStr">
        <is>
          <t>T-Shirt</t>
        </is>
      </c>
      <c r="D16" s="16" t="inlineStr">
        <is>
          <t>Fashion</t>
        </is>
      </c>
      <c r="E16" s="16" t="inlineStr">
        <is>
          <t>East</t>
        </is>
      </c>
      <c r="F16" s="16" t="inlineStr">
        <is>
          <t>Wholesale</t>
        </is>
      </c>
      <c r="G16" s="16" t="n">
        <v>4</v>
      </c>
      <c r="H16" s="18" t="n">
        <v>586.13</v>
      </c>
      <c r="I16" s="19" t="n">
        <v>0.05</v>
      </c>
      <c r="J16" s="18" t="n">
        <v>2227.29</v>
      </c>
      <c r="K16" s="18" t="n">
        <v>1200.77</v>
      </c>
      <c r="L16" s="18" t="n">
        <v>1026.52</v>
      </c>
    </row>
    <row r="17">
      <c r="A17" s="16" t="inlineStr">
        <is>
          <t>ORD0297</t>
        </is>
      </c>
      <c r="B17" s="17" t="n">
        <v>45346</v>
      </c>
      <c r="C17" s="16" t="inlineStr">
        <is>
          <t>Notebook Pack</t>
        </is>
      </c>
      <c r="D17" s="16" t="inlineStr">
        <is>
          <t>Stationery</t>
        </is>
      </c>
      <c r="E17" s="16" t="inlineStr">
        <is>
          <t>East</t>
        </is>
      </c>
      <c r="F17" s="16" t="inlineStr">
        <is>
          <t>Store</t>
        </is>
      </c>
      <c r="G17" s="16" t="n">
        <v>8</v>
      </c>
      <c r="H17" s="18" t="n">
        <v>224.45</v>
      </c>
      <c r="I17" s="19" t="n">
        <v>0.1</v>
      </c>
      <c r="J17" s="18" t="n">
        <v>1616.04</v>
      </c>
      <c r="K17" s="18" t="n">
        <v>1245.31</v>
      </c>
      <c r="L17" s="18" t="n">
        <v>370.73</v>
      </c>
    </row>
    <row r="18">
      <c r="A18" s="16" t="inlineStr">
        <is>
          <t>ORD0023</t>
        </is>
      </c>
      <c r="B18" s="17" t="n">
        <v>45347</v>
      </c>
      <c r="C18" s="16" t="inlineStr">
        <is>
          <t>Headphones</t>
        </is>
      </c>
      <c r="D18" s="16" t="inlineStr">
        <is>
          <t>Electronics</t>
        </is>
      </c>
      <c r="E18" s="16" t="inlineStr">
        <is>
          <t>North</t>
        </is>
      </c>
      <c r="F18" s="16" t="inlineStr">
        <is>
          <t>Wholesale</t>
        </is>
      </c>
      <c r="G18" s="16" t="n">
        <v>7</v>
      </c>
      <c r="H18" s="18" t="n">
        <v>1325.85</v>
      </c>
      <c r="I18" s="19" t="n">
        <v>0</v>
      </c>
      <c r="J18" s="18" t="n">
        <v>9280.950000000001</v>
      </c>
      <c r="K18" s="18" t="n">
        <v>5426.11</v>
      </c>
      <c r="L18" s="18" t="n">
        <v>3854.84</v>
      </c>
    </row>
    <row r="19">
      <c r="A19" s="16" t="inlineStr">
        <is>
          <t>ORD0214</t>
        </is>
      </c>
      <c r="B19" s="17" t="n">
        <v>45355</v>
      </c>
      <c r="C19" s="16" t="inlineStr">
        <is>
          <t>Lunch Box</t>
        </is>
      </c>
      <c r="D19" s="16" t="inlineStr">
        <is>
          <t>Home &amp; Kitchen</t>
        </is>
      </c>
      <c r="E19" s="16" t="inlineStr">
        <is>
          <t>South</t>
        </is>
      </c>
      <c r="F19" s="16" t="inlineStr">
        <is>
          <t>Online</t>
        </is>
      </c>
      <c r="G19" s="16" t="n">
        <v>6</v>
      </c>
      <c r="H19" s="18" t="n">
        <v>779.5700000000001</v>
      </c>
      <c r="I19" s="19" t="n">
        <v>0.1</v>
      </c>
      <c r="J19" s="18" t="n">
        <v>4209.68</v>
      </c>
      <c r="K19" s="18" t="n">
        <v>2764.18</v>
      </c>
      <c r="L19" s="18" t="n">
        <v>1445.5</v>
      </c>
    </row>
    <row r="20">
      <c r="A20" s="16" t="inlineStr">
        <is>
          <t>ORD0128</t>
        </is>
      </c>
      <c r="B20" s="17" t="n">
        <v>45357</v>
      </c>
      <c r="C20" s="16" t="inlineStr">
        <is>
          <t>Wallet</t>
        </is>
      </c>
      <c r="D20" s="16" t="inlineStr">
        <is>
          <t>Fashion</t>
        </is>
      </c>
      <c r="E20" s="16" t="inlineStr">
        <is>
          <t>North</t>
        </is>
      </c>
      <c r="F20" s="16" t="inlineStr">
        <is>
          <t>Wholesale</t>
        </is>
      </c>
      <c r="G20" s="16" t="n">
        <v>6</v>
      </c>
      <c r="H20" s="18" t="n">
        <v>772.22</v>
      </c>
      <c r="I20" s="19" t="n">
        <v>0</v>
      </c>
      <c r="J20" s="18" t="n">
        <v>4633.32</v>
      </c>
      <c r="K20" s="18" t="n">
        <v>2953.84</v>
      </c>
      <c r="L20" s="18" t="n">
        <v>1679.48</v>
      </c>
    </row>
    <row r="21">
      <c r="A21" s="16" t="inlineStr">
        <is>
          <t>ORD0010</t>
        </is>
      </c>
      <c r="B21" s="17" t="n">
        <v>45359</v>
      </c>
      <c r="C21" s="16" t="inlineStr">
        <is>
          <t>Desk Lamp</t>
        </is>
      </c>
      <c r="D21" s="16" t="inlineStr">
        <is>
          <t>Home &amp; Kitchen</t>
        </is>
      </c>
      <c r="E21" s="16" t="inlineStr">
        <is>
          <t>East</t>
        </is>
      </c>
      <c r="F21" s="16" t="inlineStr">
        <is>
          <t>Online</t>
        </is>
      </c>
      <c r="G21" s="16" t="n">
        <v>4</v>
      </c>
      <c r="H21" s="18" t="n">
        <v>1511.16</v>
      </c>
      <c r="I21" s="19" t="n">
        <v>0.1</v>
      </c>
      <c r="J21" s="18" t="n">
        <v>5440.18</v>
      </c>
      <c r="K21" s="18" t="n">
        <v>4080.23</v>
      </c>
      <c r="L21" s="18" t="n">
        <v>1359.95</v>
      </c>
    </row>
    <row r="22">
      <c r="A22" s="16" t="inlineStr">
        <is>
          <t>ORD0029</t>
        </is>
      </c>
      <c r="B22" s="17" t="n">
        <v>45362</v>
      </c>
      <c r="C22" s="16" t="inlineStr">
        <is>
          <t>Keyboard</t>
        </is>
      </c>
      <c r="D22" s="16" t="inlineStr">
        <is>
          <t>Electronics</t>
        </is>
      </c>
      <c r="E22" s="16" t="inlineStr">
        <is>
          <t>West</t>
        </is>
      </c>
      <c r="F22" s="16" t="inlineStr">
        <is>
          <t>Wholesale</t>
        </is>
      </c>
      <c r="G22" s="16" t="n">
        <v>7</v>
      </c>
      <c r="H22" s="18" t="n">
        <v>1605.53</v>
      </c>
      <c r="I22" s="19" t="n">
        <v>0.15</v>
      </c>
      <c r="J22" s="18" t="n">
        <v>9552.9</v>
      </c>
      <c r="K22" s="18" t="n">
        <v>5579.05</v>
      </c>
      <c r="L22" s="18" t="n">
        <v>3973.85</v>
      </c>
    </row>
    <row r="23">
      <c r="A23" s="16" t="inlineStr">
        <is>
          <t>ORD0021</t>
        </is>
      </c>
      <c r="B23" s="17" t="n">
        <v>45364</v>
      </c>
      <c r="C23" s="16" t="inlineStr">
        <is>
          <t>Desk Lamp</t>
        </is>
      </c>
      <c r="D23" s="16" t="inlineStr">
        <is>
          <t>Home &amp; Kitchen</t>
        </is>
      </c>
      <c r="E23" s="16" t="inlineStr">
        <is>
          <t>East</t>
        </is>
      </c>
      <c r="F23" s="16" t="inlineStr">
        <is>
          <t>Online</t>
        </is>
      </c>
      <c r="G23" s="16" t="n">
        <v>8</v>
      </c>
      <c r="H23" s="18" t="n">
        <v>1294.98</v>
      </c>
      <c r="I23" s="19" t="n">
        <v>0</v>
      </c>
      <c r="J23" s="18" t="n">
        <v>10359.84</v>
      </c>
      <c r="K23" s="18" t="n">
        <v>7335.51</v>
      </c>
      <c r="L23" s="18" t="n">
        <v>3024.33</v>
      </c>
    </row>
    <row r="24">
      <c r="A24" s="16" t="inlineStr">
        <is>
          <t>ORD0193</t>
        </is>
      </c>
      <c r="B24" s="17" t="n">
        <v>45367</v>
      </c>
      <c r="C24" s="16" t="inlineStr">
        <is>
          <t>Wallet</t>
        </is>
      </c>
      <c r="D24" s="16" t="inlineStr">
        <is>
          <t>Fashion</t>
        </is>
      </c>
      <c r="E24" s="16" t="inlineStr">
        <is>
          <t>North</t>
        </is>
      </c>
      <c r="F24" s="16" t="inlineStr">
        <is>
          <t>Online</t>
        </is>
      </c>
      <c r="G24" s="16" t="n">
        <v>6</v>
      </c>
      <c r="H24" s="18" t="n">
        <v>671.1900000000001</v>
      </c>
      <c r="I24" s="19" t="n">
        <v>0.15</v>
      </c>
      <c r="J24" s="18" t="n">
        <v>3423.07</v>
      </c>
      <c r="K24" s="18" t="n">
        <v>2349.41</v>
      </c>
      <c r="L24" s="18" t="n">
        <v>1073.66</v>
      </c>
    </row>
    <row r="25">
      <c r="A25" s="16" t="inlineStr">
        <is>
          <t>ORD0153</t>
        </is>
      </c>
      <c r="B25" s="17" t="n">
        <v>45370</v>
      </c>
      <c r="C25" s="16" t="inlineStr">
        <is>
          <t>USB Drive</t>
        </is>
      </c>
      <c r="D25" s="16" t="inlineStr">
        <is>
          <t>Electronics</t>
        </is>
      </c>
      <c r="E25" s="16" t="inlineStr">
        <is>
          <t>North</t>
        </is>
      </c>
      <c r="F25" s="16" t="inlineStr">
        <is>
          <t>Store</t>
        </is>
      </c>
      <c r="G25" s="16" t="n">
        <v>8</v>
      </c>
      <c r="H25" s="18" t="n">
        <v>579.21</v>
      </c>
      <c r="I25" s="19" t="n">
        <v>0</v>
      </c>
      <c r="J25" s="18" t="n">
        <v>4633.68</v>
      </c>
      <c r="K25" s="18" t="n">
        <v>2951.33</v>
      </c>
      <c r="L25" s="18" t="n">
        <v>1682.35</v>
      </c>
    </row>
    <row r="26">
      <c r="A26" s="16" t="inlineStr">
        <is>
          <t>ORD0017</t>
        </is>
      </c>
      <c r="B26" s="17" t="n">
        <v>45372</v>
      </c>
      <c r="C26" s="16" t="inlineStr">
        <is>
          <t>USB Drive</t>
        </is>
      </c>
      <c r="D26" s="16" t="inlineStr">
        <is>
          <t>Electronics</t>
        </is>
      </c>
      <c r="E26" s="16" t="inlineStr">
        <is>
          <t>North</t>
        </is>
      </c>
      <c r="F26" s="16" t="inlineStr">
        <is>
          <t>Wholesale</t>
        </is>
      </c>
      <c r="G26" s="16" t="n">
        <v>2</v>
      </c>
      <c r="H26" s="18" t="n">
        <v>655.76</v>
      </c>
      <c r="I26" s="19" t="n">
        <v>0.15</v>
      </c>
      <c r="J26" s="18" t="n">
        <v>1114.79</v>
      </c>
      <c r="K26" s="18" t="n">
        <v>801.66</v>
      </c>
      <c r="L26" s="18" t="n">
        <v>313.13</v>
      </c>
    </row>
    <row r="27">
      <c r="A27" s="16" t="inlineStr">
        <is>
          <t>ORD0148</t>
        </is>
      </c>
      <c r="B27" s="17" t="n">
        <v>45372</v>
      </c>
      <c r="C27" s="16" t="inlineStr">
        <is>
          <t>Cap</t>
        </is>
      </c>
      <c r="D27" s="16" t="inlineStr">
        <is>
          <t>Fashion</t>
        </is>
      </c>
      <c r="E27" s="16" t="inlineStr">
        <is>
          <t>West</t>
        </is>
      </c>
      <c r="F27" s="16" t="inlineStr">
        <is>
          <t>Wholesale</t>
        </is>
      </c>
      <c r="G27" s="16" t="n">
        <v>6</v>
      </c>
      <c r="H27" s="18" t="n">
        <v>324.64</v>
      </c>
      <c r="I27" s="19" t="n">
        <v>0</v>
      </c>
      <c r="J27" s="18" t="n">
        <v>1947.84</v>
      </c>
      <c r="K27" s="18" t="n">
        <v>1051.56</v>
      </c>
      <c r="L27" s="18" t="n">
        <v>896.28</v>
      </c>
    </row>
    <row r="28">
      <c r="A28" s="16" t="inlineStr">
        <is>
          <t>ORD0182</t>
        </is>
      </c>
      <c r="B28" s="17" t="n">
        <v>45373</v>
      </c>
      <c r="C28" s="16" t="inlineStr">
        <is>
          <t>Planner</t>
        </is>
      </c>
      <c r="D28" s="16" t="inlineStr">
        <is>
          <t>Stationery</t>
        </is>
      </c>
      <c r="E28" s="16" t="inlineStr">
        <is>
          <t>East</t>
        </is>
      </c>
      <c r="F28" s="16" t="inlineStr">
        <is>
          <t>Store</t>
        </is>
      </c>
      <c r="G28" s="16" t="n">
        <v>5</v>
      </c>
      <c r="H28" s="18" t="n">
        <v>352.12</v>
      </c>
      <c r="I28" s="19" t="n">
        <v>0.1</v>
      </c>
      <c r="J28" s="18" t="n">
        <v>1584.54</v>
      </c>
      <c r="K28" s="18" t="n">
        <v>892.62</v>
      </c>
      <c r="L28" s="18" t="n">
        <v>691.92</v>
      </c>
    </row>
    <row r="29">
      <c r="A29" s="16" t="inlineStr">
        <is>
          <t>ORD0057</t>
        </is>
      </c>
      <c r="B29" s="17" t="n">
        <v>45374</v>
      </c>
      <c r="C29" s="16" t="inlineStr">
        <is>
          <t>Lunch Box</t>
        </is>
      </c>
      <c r="D29" s="16" t="inlineStr">
        <is>
          <t>Home &amp; Kitchen</t>
        </is>
      </c>
      <c r="E29" s="16" t="inlineStr">
        <is>
          <t>West</t>
        </is>
      </c>
      <c r="F29" s="16" t="inlineStr">
        <is>
          <t>Store</t>
        </is>
      </c>
      <c r="G29" s="16" t="n">
        <v>4</v>
      </c>
      <c r="H29" s="18" t="n">
        <v>639.64</v>
      </c>
      <c r="I29" s="19" t="n">
        <v>0</v>
      </c>
      <c r="J29" s="18" t="n">
        <v>2558.56</v>
      </c>
      <c r="K29" s="18" t="n">
        <v>1800.38</v>
      </c>
      <c r="L29" s="18" t="n">
        <v>758.1799999999999</v>
      </c>
    </row>
    <row r="30">
      <c r="A30" s="16" t="inlineStr">
        <is>
          <t>ORD0064</t>
        </is>
      </c>
      <c r="B30" s="17" t="n">
        <v>45375</v>
      </c>
      <c r="C30" s="16" t="inlineStr">
        <is>
          <t>T-Shirt</t>
        </is>
      </c>
      <c r="D30" s="16" t="inlineStr">
        <is>
          <t>Fashion</t>
        </is>
      </c>
      <c r="E30" s="16" t="inlineStr">
        <is>
          <t>West</t>
        </is>
      </c>
      <c r="F30" s="16" t="inlineStr">
        <is>
          <t>Wholesale</t>
        </is>
      </c>
      <c r="G30" s="16" t="n">
        <v>1</v>
      </c>
      <c r="H30" s="18" t="n">
        <v>719.98</v>
      </c>
      <c r="I30" s="19" t="n">
        <v>0.05</v>
      </c>
      <c r="J30" s="18" t="n">
        <v>683.98</v>
      </c>
      <c r="K30" s="18" t="n">
        <v>395.54</v>
      </c>
      <c r="L30" s="18" t="n">
        <v>288.44</v>
      </c>
    </row>
    <row r="31">
      <c r="A31" s="16" t="inlineStr">
        <is>
          <t>ORD0030</t>
        </is>
      </c>
      <c r="B31" s="17" t="n">
        <v>45375</v>
      </c>
      <c r="C31" s="16" t="inlineStr">
        <is>
          <t>Cap</t>
        </is>
      </c>
      <c r="D31" s="16" t="inlineStr">
        <is>
          <t>Fashion</t>
        </is>
      </c>
      <c r="E31" s="16" t="inlineStr">
        <is>
          <t>East</t>
        </is>
      </c>
      <c r="F31" s="16" t="inlineStr">
        <is>
          <t>Online</t>
        </is>
      </c>
      <c r="G31" s="16" t="n">
        <v>5</v>
      </c>
      <c r="H31" s="18" t="n">
        <v>322.52</v>
      </c>
      <c r="I31" s="19" t="n">
        <v>0.05</v>
      </c>
      <c r="J31" s="18" t="n">
        <v>1531.97</v>
      </c>
      <c r="K31" s="18" t="n">
        <v>891.7</v>
      </c>
      <c r="L31" s="18" t="n">
        <v>640.27</v>
      </c>
    </row>
    <row r="32">
      <c r="A32" s="16" t="inlineStr">
        <is>
          <t>ORD0050</t>
        </is>
      </c>
      <c r="B32" s="17" t="n">
        <v>45378</v>
      </c>
      <c r="C32" s="16" t="inlineStr">
        <is>
          <t>Planner</t>
        </is>
      </c>
      <c r="D32" s="16" t="inlineStr">
        <is>
          <t>Stationery</t>
        </is>
      </c>
      <c r="E32" s="16" t="inlineStr">
        <is>
          <t>North</t>
        </is>
      </c>
      <c r="F32" s="16" t="inlineStr">
        <is>
          <t>Online</t>
        </is>
      </c>
      <c r="G32" s="16" t="n">
        <v>2</v>
      </c>
      <c r="H32" s="18" t="n">
        <v>397.76</v>
      </c>
      <c r="I32" s="19" t="n">
        <v>0</v>
      </c>
      <c r="J32" s="18" t="n">
        <v>795.52</v>
      </c>
      <c r="K32" s="18" t="n">
        <v>552.83</v>
      </c>
      <c r="L32" s="18" t="n">
        <v>242.69</v>
      </c>
    </row>
    <row r="33">
      <c r="A33" s="16" t="inlineStr">
        <is>
          <t>ORD0287</t>
        </is>
      </c>
      <c r="B33" s="17" t="n">
        <v>45379</v>
      </c>
      <c r="C33" s="16" t="inlineStr">
        <is>
          <t>Keyboard</t>
        </is>
      </c>
      <c r="D33" s="16" t="inlineStr">
        <is>
          <t>Electronics</t>
        </is>
      </c>
      <c r="E33" s="16" t="inlineStr">
        <is>
          <t>East</t>
        </is>
      </c>
      <c r="F33" s="16" t="inlineStr">
        <is>
          <t>Store</t>
        </is>
      </c>
      <c r="G33" s="16" t="n">
        <v>6</v>
      </c>
      <c r="H33" s="18" t="n">
        <v>1726.49</v>
      </c>
      <c r="I33" s="19" t="n">
        <v>0.1</v>
      </c>
      <c r="J33" s="18" t="n">
        <v>9323.049999999999</v>
      </c>
      <c r="K33" s="18" t="n">
        <v>6749.05</v>
      </c>
      <c r="L33" s="18" t="n">
        <v>2574</v>
      </c>
    </row>
    <row r="34">
      <c r="A34" s="16" t="inlineStr">
        <is>
          <t>ORD0093</t>
        </is>
      </c>
      <c r="B34" s="17" t="n">
        <v>45382</v>
      </c>
      <c r="C34" s="16" t="inlineStr">
        <is>
          <t>Planner</t>
        </is>
      </c>
      <c r="D34" s="16" t="inlineStr">
        <is>
          <t>Stationery</t>
        </is>
      </c>
      <c r="E34" s="16" t="inlineStr">
        <is>
          <t>West</t>
        </is>
      </c>
      <c r="F34" s="16" t="inlineStr">
        <is>
          <t>Wholesale</t>
        </is>
      </c>
      <c r="G34" s="16" t="n">
        <v>6</v>
      </c>
      <c r="H34" s="18" t="n">
        <v>311.7</v>
      </c>
      <c r="I34" s="19" t="n">
        <v>0.1</v>
      </c>
      <c r="J34" s="18" t="n">
        <v>1683.18</v>
      </c>
      <c r="K34" s="18" t="n">
        <v>1253.76</v>
      </c>
      <c r="L34" s="18" t="n">
        <v>429.42</v>
      </c>
    </row>
    <row r="35">
      <c r="A35" s="16" t="inlineStr">
        <is>
          <t>ORD0090</t>
        </is>
      </c>
      <c r="B35" s="17" t="n">
        <v>45385</v>
      </c>
      <c r="C35" s="16" t="inlineStr">
        <is>
          <t>Water Bottle</t>
        </is>
      </c>
      <c r="D35" s="16" t="inlineStr">
        <is>
          <t>Home &amp; Kitchen</t>
        </is>
      </c>
      <c r="E35" s="16" t="inlineStr">
        <is>
          <t>East</t>
        </is>
      </c>
      <c r="F35" s="16" t="inlineStr">
        <is>
          <t>Store</t>
        </is>
      </c>
      <c r="G35" s="16" t="n">
        <v>5</v>
      </c>
      <c r="H35" s="18" t="n">
        <v>473.26</v>
      </c>
      <c r="I35" s="19" t="n">
        <v>0</v>
      </c>
      <c r="J35" s="18" t="n">
        <v>2366.3</v>
      </c>
      <c r="K35" s="18" t="n">
        <v>1519.95</v>
      </c>
      <c r="L35" s="18" t="n">
        <v>846.35</v>
      </c>
    </row>
    <row r="36">
      <c r="A36" s="16" t="inlineStr">
        <is>
          <t>ORD0168</t>
        </is>
      </c>
      <c r="B36" s="17" t="n">
        <v>45385</v>
      </c>
      <c r="C36" s="16" t="inlineStr">
        <is>
          <t>Storage Box</t>
        </is>
      </c>
      <c r="D36" s="16" t="inlineStr">
        <is>
          <t>Home &amp; Kitchen</t>
        </is>
      </c>
      <c r="E36" s="16" t="inlineStr">
        <is>
          <t>South</t>
        </is>
      </c>
      <c r="F36" s="16" t="inlineStr">
        <is>
          <t>Online</t>
        </is>
      </c>
      <c r="G36" s="16" t="n">
        <v>6</v>
      </c>
      <c r="H36" s="18" t="n">
        <v>940.53</v>
      </c>
      <c r="I36" s="19" t="n">
        <v>0.1</v>
      </c>
      <c r="J36" s="18" t="n">
        <v>5078.86</v>
      </c>
      <c r="K36" s="18" t="n">
        <v>2711.33</v>
      </c>
      <c r="L36" s="18" t="n">
        <v>2367.53</v>
      </c>
    </row>
    <row r="37">
      <c r="A37" s="16" t="inlineStr">
        <is>
          <t>ORD0106</t>
        </is>
      </c>
      <c r="B37" s="17" t="n">
        <v>45392</v>
      </c>
      <c r="C37" s="16" t="inlineStr">
        <is>
          <t>USB Drive</t>
        </is>
      </c>
      <c r="D37" s="16" t="inlineStr">
        <is>
          <t>Electronics</t>
        </is>
      </c>
      <c r="E37" s="16" t="inlineStr">
        <is>
          <t>West</t>
        </is>
      </c>
      <c r="F37" s="16" t="inlineStr">
        <is>
          <t>Store</t>
        </is>
      </c>
      <c r="G37" s="16" t="n">
        <v>3</v>
      </c>
      <c r="H37" s="18" t="n">
        <v>601.1</v>
      </c>
      <c r="I37" s="19" t="n">
        <v>0</v>
      </c>
      <c r="J37" s="18" t="n">
        <v>1803.3</v>
      </c>
      <c r="K37" s="18" t="n">
        <v>959.28</v>
      </c>
      <c r="L37" s="18" t="n">
        <v>844.02</v>
      </c>
    </row>
    <row r="38">
      <c r="A38" s="16" t="inlineStr">
        <is>
          <t>ORD0268</t>
        </is>
      </c>
      <c r="B38" s="17" t="n">
        <v>45392</v>
      </c>
      <c r="C38" s="16" t="inlineStr">
        <is>
          <t>Backpack</t>
        </is>
      </c>
      <c r="D38" s="16" t="inlineStr">
        <is>
          <t>Fashion</t>
        </is>
      </c>
      <c r="E38" s="16" t="inlineStr">
        <is>
          <t>East</t>
        </is>
      </c>
      <c r="F38" s="16" t="inlineStr">
        <is>
          <t>Store</t>
        </is>
      </c>
      <c r="G38" s="16" t="n">
        <v>2</v>
      </c>
      <c r="H38" s="18" t="n">
        <v>1453.81</v>
      </c>
      <c r="I38" s="19" t="n">
        <v>0.15</v>
      </c>
      <c r="J38" s="18" t="n">
        <v>2471.48</v>
      </c>
      <c r="K38" s="18" t="n">
        <v>1898.75</v>
      </c>
      <c r="L38" s="18" t="n">
        <v>572.73</v>
      </c>
    </row>
    <row r="39">
      <c r="A39" s="16" t="inlineStr">
        <is>
          <t>ORD0084</t>
        </is>
      </c>
      <c r="B39" s="17" t="n">
        <v>45393</v>
      </c>
      <c r="C39" s="16" t="inlineStr">
        <is>
          <t>Lunch Box</t>
        </is>
      </c>
      <c r="D39" s="16" t="inlineStr">
        <is>
          <t>Home &amp; Kitchen</t>
        </is>
      </c>
      <c r="E39" s="16" t="inlineStr">
        <is>
          <t>West</t>
        </is>
      </c>
      <c r="F39" s="16" t="inlineStr">
        <is>
          <t>Online</t>
        </is>
      </c>
      <c r="G39" s="16" t="n">
        <v>5</v>
      </c>
      <c r="H39" s="18" t="n">
        <v>702.75</v>
      </c>
      <c r="I39" s="19" t="n">
        <v>0</v>
      </c>
      <c r="J39" s="18" t="n">
        <v>3513.75</v>
      </c>
      <c r="K39" s="18" t="n">
        <v>2046.28</v>
      </c>
      <c r="L39" s="18" t="n">
        <v>1467.47</v>
      </c>
    </row>
    <row r="40">
      <c r="A40" s="16" t="inlineStr">
        <is>
          <t>ORD0292</t>
        </is>
      </c>
      <c r="B40" s="17" t="n">
        <v>45396</v>
      </c>
      <c r="C40" s="16" t="inlineStr">
        <is>
          <t>Desk Lamp</t>
        </is>
      </c>
      <c r="D40" s="16" t="inlineStr">
        <is>
          <t>Home &amp; Kitchen</t>
        </is>
      </c>
      <c r="E40" s="16" t="inlineStr">
        <is>
          <t>East</t>
        </is>
      </c>
      <c r="F40" s="16" t="inlineStr">
        <is>
          <t>Wholesale</t>
        </is>
      </c>
      <c r="G40" s="16" t="n">
        <v>6</v>
      </c>
      <c r="H40" s="18" t="n">
        <v>1286.57</v>
      </c>
      <c r="I40" s="19" t="n">
        <v>0</v>
      </c>
      <c r="J40" s="18" t="n">
        <v>7719.42</v>
      </c>
      <c r="K40" s="18" t="n">
        <v>4540.65</v>
      </c>
      <c r="L40" s="18" t="n">
        <v>3178.77</v>
      </c>
    </row>
    <row r="41">
      <c r="A41" s="16" t="inlineStr">
        <is>
          <t>ORD0070</t>
        </is>
      </c>
      <c r="B41" s="17" t="n">
        <v>45400</v>
      </c>
      <c r="C41" s="16" t="inlineStr">
        <is>
          <t>Cap</t>
        </is>
      </c>
      <c r="D41" s="16" t="inlineStr">
        <is>
          <t>Fashion</t>
        </is>
      </c>
      <c r="E41" s="16" t="inlineStr">
        <is>
          <t>South</t>
        </is>
      </c>
      <c r="F41" s="16" t="inlineStr">
        <is>
          <t>Wholesale</t>
        </is>
      </c>
      <c r="G41" s="16" t="n">
        <v>8</v>
      </c>
      <c r="H41" s="18" t="n">
        <v>384.15</v>
      </c>
      <c r="I41" s="19" t="n">
        <v>0.1</v>
      </c>
      <c r="J41" s="18" t="n">
        <v>2765.88</v>
      </c>
      <c r="K41" s="18" t="n">
        <v>1564.92</v>
      </c>
      <c r="L41" s="18" t="n">
        <v>1200.96</v>
      </c>
    </row>
    <row r="42">
      <c r="A42" s="16" t="inlineStr">
        <is>
          <t>ORD0285</t>
        </is>
      </c>
      <c r="B42" s="17" t="n">
        <v>45400</v>
      </c>
      <c r="C42" s="16" t="inlineStr">
        <is>
          <t>Headphones</t>
        </is>
      </c>
      <c r="D42" s="16" t="inlineStr">
        <is>
          <t>Electronics</t>
        </is>
      </c>
      <c r="E42" s="16" t="inlineStr">
        <is>
          <t>North</t>
        </is>
      </c>
      <c r="F42" s="16" t="inlineStr">
        <is>
          <t>Store</t>
        </is>
      </c>
      <c r="G42" s="16" t="n">
        <v>5</v>
      </c>
      <c r="H42" s="18" t="n">
        <v>1113.24</v>
      </c>
      <c r="I42" s="19" t="n">
        <v>0.15</v>
      </c>
      <c r="J42" s="18" t="n">
        <v>4731.27</v>
      </c>
      <c r="K42" s="18" t="n">
        <v>3146.66</v>
      </c>
      <c r="L42" s="18" t="n">
        <v>1584.61</v>
      </c>
    </row>
    <row r="43">
      <c r="A43" s="16" t="inlineStr">
        <is>
          <t>ORD0277</t>
        </is>
      </c>
      <c r="B43" s="17" t="n">
        <v>45401</v>
      </c>
      <c r="C43" s="16" t="inlineStr">
        <is>
          <t>Desk Lamp</t>
        </is>
      </c>
      <c r="D43" s="16" t="inlineStr">
        <is>
          <t>Home &amp; Kitchen</t>
        </is>
      </c>
      <c r="E43" s="16" t="inlineStr">
        <is>
          <t>East</t>
        </is>
      </c>
      <c r="F43" s="16" t="inlineStr">
        <is>
          <t>Store</t>
        </is>
      </c>
      <c r="G43" s="16" t="n">
        <v>1</v>
      </c>
      <c r="H43" s="18" t="n">
        <v>1654.92</v>
      </c>
      <c r="I43" s="19" t="n">
        <v>0.05</v>
      </c>
      <c r="J43" s="18" t="n">
        <v>1572.17</v>
      </c>
      <c r="K43" s="18" t="n">
        <v>1161.55</v>
      </c>
      <c r="L43" s="18" t="n">
        <v>410.62</v>
      </c>
    </row>
    <row r="44">
      <c r="A44" s="16" t="inlineStr">
        <is>
          <t>ORD0130</t>
        </is>
      </c>
      <c r="B44" s="17" t="n">
        <v>45402</v>
      </c>
      <c r="C44" s="16" t="inlineStr">
        <is>
          <t>Wallet</t>
        </is>
      </c>
      <c r="D44" s="16" t="inlineStr">
        <is>
          <t>Fashion</t>
        </is>
      </c>
      <c r="E44" s="16" t="inlineStr">
        <is>
          <t>West</t>
        </is>
      </c>
      <c r="F44" s="16" t="inlineStr">
        <is>
          <t>Online</t>
        </is>
      </c>
      <c r="G44" s="16" t="n">
        <v>2</v>
      </c>
      <c r="H44" s="18" t="n">
        <v>873.5599999999999</v>
      </c>
      <c r="I44" s="19" t="n">
        <v>0.05</v>
      </c>
      <c r="J44" s="18" t="n">
        <v>1659.76</v>
      </c>
      <c r="K44" s="18" t="n">
        <v>1125.58</v>
      </c>
      <c r="L44" s="18" t="n">
        <v>534.1799999999999</v>
      </c>
    </row>
    <row r="45">
      <c r="A45" s="16" t="inlineStr">
        <is>
          <t>ORD0137</t>
        </is>
      </c>
      <c r="B45" s="17" t="n">
        <v>45402</v>
      </c>
      <c r="C45" s="16" t="inlineStr">
        <is>
          <t>Planner</t>
        </is>
      </c>
      <c r="D45" s="16" t="inlineStr">
        <is>
          <t>Stationery</t>
        </is>
      </c>
      <c r="E45" s="16" t="inlineStr">
        <is>
          <t>East</t>
        </is>
      </c>
      <c r="F45" s="16" t="inlineStr">
        <is>
          <t>Wholesale</t>
        </is>
      </c>
      <c r="G45" s="16" t="n">
        <v>2</v>
      </c>
      <c r="H45" s="18" t="n">
        <v>390.92</v>
      </c>
      <c r="I45" s="19" t="n">
        <v>0.15</v>
      </c>
      <c r="J45" s="18" t="n">
        <v>664.5599999999999</v>
      </c>
      <c r="K45" s="18" t="n">
        <v>384.65</v>
      </c>
      <c r="L45" s="18" t="n">
        <v>279.91</v>
      </c>
    </row>
    <row r="46">
      <c r="A46" s="16" t="inlineStr">
        <is>
          <t>ORD0173</t>
        </is>
      </c>
      <c r="B46" s="17" t="n">
        <v>45405</v>
      </c>
      <c r="C46" s="16" t="inlineStr">
        <is>
          <t>T-Shirt</t>
        </is>
      </c>
      <c r="D46" s="16" t="inlineStr">
        <is>
          <t>Fashion</t>
        </is>
      </c>
      <c r="E46" s="16" t="inlineStr">
        <is>
          <t>South</t>
        </is>
      </c>
      <c r="F46" s="16" t="inlineStr">
        <is>
          <t>Online</t>
        </is>
      </c>
      <c r="G46" s="16" t="n">
        <v>4</v>
      </c>
      <c r="H46" s="18" t="n">
        <v>660.89</v>
      </c>
      <c r="I46" s="19" t="n">
        <v>0.05</v>
      </c>
      <c r="J46" s="18" t="n">
        <v>2511.38</v>
      </c>
      <c r="K46" s="18" t="n">
        <v>1586.19</v>
      </c>
      <c r="L46" s="18" t="n">
        <v>925.1900000000001</v>
      </c>
    </row>
    <row r="47">
      <c r="A47" s="16" t="inlineStr">
        <is>
          <t>ORD0241</t>
        </is>
      </c>
      <c r="B47" s="17" t="n">
        <v>45407</v>
      </c>
      <c r="C47" s="16" t="inlineStr">
        <is>
          <t>USB Drive</t>
        </is>
      </c>
      <c r="D47" s="16" t="inlineStr">
        <is>
          <t>Electronics</t>
        </is>
      </c>
      <c r="E47" s="16" t="inlineStr">
        <is>
          <t>West</t>
        </is>
      </c>
      <c r="F47" s="16" t="inlineStr">
        <is>
          <t>Store</t>
        </is>
      </c>
      <c r="G47" s="16" t="n">
        <v>1</v>
      </c>
      <c r="H47" s="18" t="n">
        <v>513.83</v>
      </c>
      <c r="I47" s="19" t="n">
        <v>0</v>
      </c>
      <c r="J47" s="18" t="n">
        <v>513.83</v>
      </c>
      <c r="K47" s="18" t="n">
        <v>280.67</v>
      </c>
      <c r="L47" s="18" t="n">
        <v>233.16</v>
      </c>
    </row>
    <row r="48">
      <c r="A48" s="16" t="inlineStr">
        <is>
          <t>ORD0187</t>
        </is>
      </c>
      <c r="B48" s="17" t="n">
        <v>45408</v>
      </c>
      <c r="C48" s="16" t="inlineStr">
        <is>
          <t>Keyboard</t>
        </is>
      </c>
      <c r="D48" s="16" t="inlineStr">
        <is>
          <t>Electronics</t>
        </is>
      </c>
      <c r="E48" s="16" t="inlineStr">
        <is>
          <t>South</t>
        </is>
      </c>
      <c r="F48" s="16" t="inlineStr">
        <is>
          <t>Wholesale</t>
        </is>
      </c>
      <c r="G48" s="16" t="n">
        <v>8</v>
      </c>
      <c r="H48" s="18" t="n">
        <v>1856.18</v>
      </c>
      <c r="I48" s="19" t="n">
        <v>0.15</v>
      </c>
      <c r="J48" s="18" t="n">
        <v>12622.02</v>
      </c>
      <c r="K48" s="18" t="n">
        <v>6949.91</v>
      </c>
      <c r="L48" s="18" t="n">
        <v>5672.11</v>
      </c>
    </row>
    <row r="49">
      <c r="A49" s="16" t="inlineStr">
        <is>
          <t>ORD0087</t>
        </is>
      </c>
      <c r="B49" s="17" t="n">
        <v>45409</v>
      </c>
      <c r="C49" s="16" t="inlineStr">
        <is>
          <t>Lunch Box</t>
        </is>
      </c>
      <c r="D49" s="16" t="inlineStr">
        <is>
          <t>Home &amp; Kitchen</t>
        </is>
      </c>
      <c r="E49" s="16" t="inlineStr">
        <is>
          <t>South</t>
        </is>
      </c>
      <c r="F49" s="16" t="inlineStr">
        <is>
          <t>Wholesale</t>
        </is>
      </c>
      <c r="G49" s="16" t="n">
        <v>5</v>
      </c>
      <c r="H49" s="18" t="n">
        <v>740.5599999999999</v>
      </c>
      <c r="I49" s="19" t="n">
        <v>0</v>
      </c>
      <c r="J49" s="18" t="n">
        <v>3702.8</v>
      </c>
      <c r="K49" s="18" t="n">
        <v>1982.87</v>
      </c>
      <c r="L49" s="18" t="n">
        <v>1719.93</v>
      </c>
    </row>
    <row r="50">
      <c r="A50" s="16" t="inlineStr">
        <is>
          <t>ORD0014</t>
        </is>
      </c>
      <c r="B50" s="17" t="n">
        <v>45409</v>
      </c>
      <c r="C50" s="16" t="inlineStr">
        <is>
          <t>Planner</t>
        </is>
      </c>
      <c r="D50" s="16" t="inlineStr">
        <is>
          <t>Stationery</t>
        </is>
      </c>
      <c r="E50" s="16" t="inlineStr">
        <is>
          <t>South</t>
        </is>
      </c>
      <c r="F50" s="16" t="inlineStr">
        <is>
          <t>Wholesale</t>
        </is>
      </c>
      <c r="G50" s="16" t="n">
        <v>2</v>
      </c>
      <c r="H50" s="18" t="n">
        <v>333.45</v>
      </c>
      <c r="I50" s="19" t="n">
        <v>0</v>
      </c>
      <c r="J50" s="18" t="n">
        <v>666.9</v>
      </c>
      <c r="K50" s="18" t="n">
        <v>425.46</v>
      </c>
      <c r="L50" s="18" t="n">
        <v>241.44</v>
      </c>
    </row>
    <row r="51">
      <c r="A51" s="16" t="inlineStr">
        <is>
          <t>ORD0230</t>
        </is>
      </c>
      <c r="B51" s="17" t="n">
        <v>45412</v>
      </c>
      <c r="C51" s="16" t="inlineStr">
        <is>
          <t>Planner</t>
        </is>
      </c>
      <c r="D51" s="16" t="inlineStr">
        <is>
          <t>Stationery</t>
        </is>
      </c>
      <c r="E51" s="16" t="inlineStr">
        <is>
          <t>East</t>
        </is>
      </c>
      <c r="F51" s="16" t="inlineStr">
        <is>
          <t>Wholesale</t>
        </is>
      </c>
      <c r="G51" s="16" t="n">
        <v>4</v>
      </c>
      <c r="H51" s="18" t="n">
        <v>324.34</v>
      </c>
      <c r="I51" s="19" t="n">
        <v>0</v>
      </c>
      <c r="J51" s="18" t="n">
        <v>1297.36</v>
      </c>
      <c r="K51" s="18" t="n">
        <v>835.92</v>
      </c>
      <c r="L51" s="18" t="n">
        <v>461.44</v>
      </c>
    </row>
    <row r="52">
      <c r="A52" s="16" t="inlineStr">
        <is>
          <t>ORD0145</t>
        </is>
      </c>
      <c r="B52" s="17" t="n">
        <v>45424</v>
      </c>
      <c r="C52" s="16" t="inlineStr">
        <is>
          <t>Backpack</t>
        </is>
      </c>
      <c r="D52" s="16" t="inlineStr">
        <is>
          <t>Fashion</t>
        </is>
      </c>
      <c r="E52" s="16" t="inlineStr">
        <is>
          <t>East</t>
        </is>
      </c>
      <c r="F52" s="16" t="inlineStr">
        <is>
          <t>Online</t>
        </is>
      </c>
      <c r="G52" s="16" t="n">
        <v>6</v>
      </c>
      <c r="H52" s="18" t="n">
        <v>1312.84</v>
      </c>
      <c r="I52" s="19" t="n">
        <v>0</v>
      </c>
      <c r="J52" s="18" t="n">
        <v>7877.04</v>
      </c>
      <c r="K52" s="18" t="n">
        <v>4989.45</v>
      </c>
      <c r="L52" s="18" t="n">
        <v>2887.59</v>
      </c>
    </row>
    <row r="53">
      <c r="A53" s="16" t="inlineStr">
        <is>
          <t>ORD0054</t>
        </is>
      </c>
      <c r="B53" s="17" t="n">
        <v>45428</v>
      </c>
      <c r="C53" s="16" t="inlineStr">
        <is>
          <t>Cap</t>
        </is>
      </c>
      <c r="D53" s="16" t="inlineStr">
        <is>
          <t>Fashion</t>
        </is>
      </c>
      <c r="E53" s="16" t="inlineStr">
        <is>
          <t>East</t>
        </is>
      </c>
      <c r="F53" s="16" t="inlineStr">
        <is>
          <t>Online</t>
        </is>
      </c>
      <c r="G53" s="16" t="n">
        <v>8</v>
      </c>
      <c r="H53" s="18" t="n">
        <v>372.55</v>
      </c>
      <c r="I53" s="19" t="n">
        <v>0.15</v>
      </c>
      <c r="J53" s="18" t="n">
        <v>2533.34</v>
      </c>
      <c r="K53" s="18" t="n">
        <v>1598.42</v>
      </c>
      <c r="L53" s="18" t="n">
        <v>934.92</v>
      </c>
    </row>
    <row r="54">
      <c r="A54" s="16" t="inlineStr">
        <is>
          <t>ORD0170</t>
        </is>
      </c>
      <c r="B54" s="17" t="n">
        <v>45432</v>
      </c>
      <c r="C54" s="16" t="inlineStr">
        <is>
          <t>Mouse</t>
        </is>
      </c>
      <c r="D54" s="16" t="inlineStr">
        <is>
          <t>Electronics</t>
        </is>
      </c>
      <c r="E54" s="16" t="inlineStr">
        <is>
          <t>East</t>
        </is>
      </c>
      <c r="F54" s="16" t="inlineStr">
        <is>
          <t>Store</t>
        </is>
      </c>
      <c r="G54" s="16" t="n">
        <v>8</v>
      </c>
      <c r="H54" s="18" t="n">
        <v>765.54</v>
      </c>
      <c r="I54" s="19" t="n">
        <v>0</v>
      </c>
      <c r="J54" s="18" t="n">
        <v>6124.32</v>
      </c>
      <c r="K54" s="18" t="n">
        <v>4392.97</v>
      </c>
      <c r="L54" s="18" t="n">
        <v>1731.35</v>
      </c>
    </row>
    <row r="55">
      <c r="A55" s="16" t="inlineStr">
        <is>
          <t>ORD0221</t>
        </is>
      </c>
      <c r="B55" s="17" t="n">
        <v>45432</v>
      </c>
      <c r="C55" s="16" t="inlineStr">
        <is>
          <t>Keyboard</t>
        </is>
      </c>
      <c r="D55" s="16" t="inlineStr">
        <is>
          <t>Electronics</t>
        </is>
      </c>
      <c r="E55" s="16" t="inlineStr">
        <is>
          <t>North</t>
        </is>
      </c>
      <c r="F55" s="16" t="inlineStr">
        <is>
          <t>Store</t>
        </is>
      </c>
      <c r="G55" s="16" t="n">
        <v>7</v>
      </c>
      <c r="H55" s="18" t="n">
        <v>1941.32</v>
      </c>
      <c r="I55" s="19" t="n">
        <v>0.1</v>
      </c>
      <c r="J55" s="18" t="n">
        <v>12230.32</v>
      </c>
      <c r="K55" s="18" t="n">
        <v>7878</v>
      </c>
      <c r="L55" s="18" t="n">
        <v>4352.32</v>
      </c>
    </row>
    <row r="56">
      <c r="A56" s="16" t="inlineStr">
        <is>
          <t>ORD0266</t>
        </is>
      </c>
      <c r="B56" s="17" t="n">
        <v>45439</v>
      </c>
      <c r="C56" s="16" t="inlineStr">
        <is>
          <t>T-Shirt</t>
        </is>
      </c>
      <c r="D56" s="16" t="inlineStr">
        <is>
          <t>Fashion</t>
        </is>
      </c>
      <c r="E56" s="16" t="inlineStr">
        <is>
          <t>East</t>
        </is>
      </c>
      <c r="F56" s="16" t="inlineStr">
        <is>
          <t>Wholesale</t>
        </is>
      </c>
      <c r="G56" s="16" t="n">
        <v>5</v>
      </c>
      <c r="H56" s="18" t="n">
        <v>544.11</v>
      </c>
      <c r="I56" s="19" t="n">
        <v>0</v>
      </c>
      <c r="J56" s="18" t="n">
        <v>2720.55</v>
      </c>
      <c r="K56" s="18" t="n">
        <v>1815.53</v>
      </c>
      <c r="L56" s="18" t="n">
        <v>905.02</v>
      </c>
    </row>
    <row r="57">
      <c r="A57" s="16" t="inlineStr">
        <is>
          <t>ORD0200</t>
        </is>
      </c>
      <c r="B57" s="17" t="n">
        <v>45439</v>
      </c>
      <c r="C57" s="16" t="inlineStr">
        <is>
          <t>Planner</t>
        </is>
      </c>
      <c r="D57" s="16" t="inlineStr">
        <is>
          <t>Stationery</t>
        </is>
      </c>
      <c r="E57" s="16" t="inlineStr">
        <is>
          <t>West</t>
        </is>
      </c>
      <c r="F57" s="16" t="inlineStr">
        <is>
          <t>Store</t>
        </is>
      </c>
      <c r="G57" s="16" t="n">
        <v>6</v>
      </c>
      <c r="H57" s="18" t="n">
        <v>416.98</v>
      </c>
      <c r="I57" s="19" t="n">
        <v>0</v>
      </c>
      <c r="J57" s="18" t="n">
        <v>2501.88</v>
      </c>
      <c r="K57" s="18" t="n">
        <v>1795.78</v>
      </c>
      <c r="L57" s="18" t="n">
        <v>706.1</v>
      </c>
    </row>
    <row r="58">
      <c r="A58" s="16" t="inlineStr">
        <is>
          <t>ORD0126</t>
        </is>
      </c>
      <c r="B58" s="17" t="n">
        <v>45440</v>
      </c>
      <c r="C58" s="16" t="inlineStr">
        <is>
          <t>Desk Lamp</t>
        </is>
      </c>
      <c r="D58" s="16" t="inlineStr">
        <is>
          <t>Home &amp; Kitchen</t>
        </is>
      </c>
      <c r="E58" s="16" t="inlineStr">
        <is>
          <t>South</t>
        </is>
      </c>
      <c r="F58" s="16" t="inlineStr">
        <is>
          <t>Online</t>
        </is>
      </c>
      <c r="G58" s="16" t="n">
        <v>3</v>
      </c>
      <c r="H58" s="18" t="n">
        <v>1243.86</v>
      </c>
      <c r="I58" s="19" t="n">
        <v>0</v>
      </c>
      <c r="J58" s="18" t="n">
        <v>3731.58</v>
      </c>
      <c r="K58" s="18" t="n">
        <v>2068.3</v>
      </c>
      <c r="L58" s="18" t="n">
        <v>1663.28</v>
      </c>
    </row>
    <row r="59">
      <c r="A59" s="16" t="inlineStr">
        <is>
          <t>ORD0051</t>
        </is>
      </c>
      <c r="B59" s="17" t="n">
        <v>45442</v>
      </c>
      <c r="C59" s="16" t="inlineStr">
        <is>
          <t>Headphones</t>
        </is>
      </c>
      <c r="D59" s="16" t="inlineStr">
        <is>
          <t>Electronics</t>
        </is>
      </c>
      <c r="E59" s="16" t="inlineStr">
        <is>
          <t>West</t>
        </is>
      </c>
      <c r="F59" s="16" t="inlineStr">
        <is>
          <t>Store</t>
        </is>
      </c>
      <c r="G59" s="16" t="n">
        <v>4</v>
      </c>
      <c r="H59" s="18" t="n">
        <v>1433.25</v>
      </c>
      <c r="I59" s="19" t="n">
        <v>0.15</v>
      </c>
      <c r="J59" s="18" t="n">
        <v>4873.05</v>
      </c>
      <c r="K59" s="18" t="n">
        <v>3610.6</v>
      </c>
      <c r="L59" s="18" t="n">
        <v>1262.45</v>
      </c>
    </row>
    <row r="60">
      <c r="A60" s="16" t="inlineStr">
        <is>
          <t>ORD0082</t>
        </is>
      </c>
      <c r="B60" s="17" t="n">
        <v>45444</v>
      </c>
      <c r="C60" s="16" t="inlineStr">
        <is>
          <t>Notebook Pack</t>
        </is>
      </c>
      <c r="D60" s="16" t="inlineStr">
        <is>
          <t>Stationery</t>
        </is>
      </c>
      <c r="E60" s="16" t="inlineStr">
        <is>
          <t>North</t>
        </is>
      </c>
      <c r="F60" s="16" t="inlineStr">
        <is>
          <t>Wholesale</t>
        </is>
      </c>
      <c r="G60" s="16" t="n">
        <v>4</v>
      </c>
      <c r="H60" s="18" t="n">
        <v>222.86</v>
      </c>
      <c r="I60" s="19" t="n">
        <v>0.1</v>
      </c>
      <c r="J60" s="18" t="n">
        <v>802.3</v>
      </c>
      <c r="K60" s="18" t="n">
        <v>543.67</v>
      </c>
      <c r="L60" s="18" t="n">
        <v>258.63</v>
      </c>
    </row>
    <row r="61">
      <c r="A61" s="16" t="inlineStr">
        <is>
          <t>ORD0261</t>
        </is>
      </c>
      <c r="B61" s="17" t="n">
        <v>45444</v>
      </c>
      <c r="C61" s="16" t="inlineStr">
        <is>
          <t>Lunch Box</t>
        </is>
      </c>
      <c r="D61" s="16" t="inlineStr">
        <is>
          <t>Home &amp; Kitchen</t>
        </is>
      </c>
      <c r="E61" s="16" t="inlineStr">
        <is>
          <t>West</t>
        </is>
      </c>
      <c r="F61" s="16" t="inlineStr">
        <is>
          <t>Store</t>
        </is>
      </c>
      <c r="G61" s="16" t="n">
        <v>5</v>
      </c>
      <c r="H61" s="18" t="n">
        <v>737.96</v>
      </c>
      <c r="I61" s="19" t="n">
        <v>0.05</v>
      </c>
      <c r="J61" s="18" t="n">
        <v>3505.31</v>
      </c>
      <c r="K61" s="18" t="n">
        <v>2547.25</v>
      </c>
      <c r="L61" s="18" t="n">
        <v>958.0599999999999</v>
      </c>
    </row>
    <row r="62">
      <c r="A62" s="16" t="inlineStr">
        <is>
          <t>ORD0255</t>
        </is>
      </c>
      <c r="B62" s="17" t="n">
        <v>45448</v>
      </c>
      <c r="C62" s="16" t="inlineStr">
        <is>
          <t>Desk Lamp</t>
        </is>
      </c>
      <c r="D62" s="16" t="inlineStr">
        <is>
          <t>Home &amp; Kitchen</t>
        </is>
      </c>
      <c r="E62" s="16" t="inlineStr">
        <is>
          <t>South</t>
        </is>
      </c>
      <c r="F62" s="16" t="inlineStr">
        <is>
          <t>Store</t>
        </is>
      </c>
      <c r="G62" s="16" t="n">
        <v>4</v>
      </c>
      <c r="H62" s="18" t="n">
        <v>1376.12</v>
      </c>
      <c r="I62" s="19" t="n">
        <v>0</v>
      </c>
      <c r="J62" s="18" t="n">
        <v>5504.48</v>
      </c>
      <c r="K62" s="18" t="n">
        <v>3576.91</v>
      </c>
      <c r="L62" s="18" t="n">
        <v>1927.57</v>
      </c>
    </row>
    <row r="63">
      <c r="A63" s="16" t="inlineStr">
        <is>
          <t>ORD0141</t>
        </is>
      </c>
      <c r="B63" s="17" t="n">
        <v>45451</v>
      </c>
      <c r="C63" s="16" t="inlineStr">
        <is>
          <t>Water Bottle</t>
        </is>
      </c>
      <c r="D63" s="16" t="inlineStr">
        <is>
          <t>Home &amp; Kitchen</t>
        </is>
      </c>
      <c r="E63" s="16" t="inlineStr">
        <is>
          <t>East</t>
        </is>
      </c>
      <c r="F63" s="16" t="inlineStr">
        <is>
          <t>Store</t>
        </is>
      </c>
      <c r="G63" s="16" t="n">
        <v>2</v>
      </c>
      <c r="H63" s="18" t="n">
        <v>425.36</v>
      </c>
      <c r="I63" s="19" t="n">
        <v>0.1</v>
      </c>
      <c r="J63" s="18" t="n">
        <v>765.65</v>
      </c>
      <c r="K63" s="18" t="n">
        <v>494.82</v>
      </c>
      <c r="L63" s="18" t="n">
        <v>270.83</v>
      </c>
    </row>
    <row r="64">
      <c r="A64" s="16" t="inlineStr">
        <is>
          <t>ORD0033</t>
        </is>
      </c>
      <c r="B64" s="17" t="n">
        <v>45453</v>
      </c>
      <c r="C64" s="16" t="inlineStr">
        <is>
          <t>Cap</t>
        </is>
      </c>
      <c r="D64" s="16" t="inlineStr">
        <is>
          <t>Fashion</t>
        </is>
      </c>
      <c r="E64" s="16" t="inlineStr">
        <is>
          <t>West</t>
        </is>
      </c>
      <c r="F64" s="16" t="inlineStr">
        <is>
          <t>Online</t>
        </is>
      </c>
      <c r="G64" s="16" t="n">
        <v>1</v>
      </c>
      <c r="H64" s="18" t="n">
        <v>379.31</v>
      </c>
      <c r="I64" s="19" t="n">
        <v>0.15</v>
      </c>
      <c r="J64" s="18" t="n">
        <v>322.41</v>
      </c>
      <c r="K64" s="18" t="n">
        <v>192.75</v>
      </c>
      <c r="L64" s="18" t="n">
        <v>129.66</v>
      </c>
    </row>
    <row r="65">
      <c r="A65" s="16" t="inlineStr">
        <is>
          <t>ORD0040</t>
        </is>
      </c>
      <c r="B65" s="17" t="n">
        <v>45458</v>
      </c>
      <c r="C65" s="16" t="inlineStr">
        <is>
          <t>Storage Box</t>
        </is>
      </c>
      <c r="D65" s="16" t="inlineStr">
        <is>
          <t>Home &amp; Kitchen</t>
        </is>
      </c>
      <c r="E65" s="16" t="inlineStr">
        <is>
          <t>East</t>
        </is>
      </c>
      <c r="F65" s="16" t="inlineStr">
        <is>
          <t>Wholesale</t>
        </is>
      </c>
      <c r="G65" s="16" t="n">
        <v>1</v>
      </c>
      <c r="H65" s="18" t="n">
        <v>730.22</v>
      </c>
      <c r="I65" s="19" t="n">
        <v>0.05</v>
      </c>
      <c r="J65" s="18" t="n">
        <v>693.71</v>
      </c>
      <c r="K65" s="18" t="n">
        <v>501.84</v>
      </c>
      <c r="L65" s="18" t="n">
        <v>191.87</v>
      </c>
    </row>
    <row r="66">
      <c r="A66" s="16" t="inlineStr">
        <is>
          <t>ORD0294</t>
        </is>
      </c>
      <c r="B66" s="17" t="n">
        <v>45468</v>
      </c>
      <c r="C66" s="16" t="inlineStr">
        <is>
          <t>Notebook Pack</t>
        </is>
      </c>
      <c r="D66" s="16" t="inlineStr">
        <is>
          <t>Stationery</t>
        </is>
      </c>
      <c r="E66" s="16" t="inlineStr">
        <is>
          <t>North</t>
        </is>
      </c>
      <c r="F66" s="16" t="inlineStr">
        <is>
          <t>Store</t>
        </is>
      </c>
      <c r="G66" s="16" t="n">
        <v>3</v>
      </c>
      <c r="H66" s="18" t="n">
        <v>239.9</v>
      </c>
      <c r="I66" s="19" t="n">
        <v>0</v>
      </c>
      <c r="J66" s="18" t="n">
        <v>719.7</v>
      </c>
      <c r="K66" s="18" t="n">
        <v>431.39</v>
      </c>
      <c r="L66" s="18" t="n">
        <v>288.31</v>
      </c>
    </row>
    <row r="67">
      <c r="A67" s="16" t="inlineStr">
        <is>
          <t>ORD0108</t>
        </is>
      </c>
      <c r="B67" s="17" t="n">
        <v>45471</v>
      </c>
      <c r="C67" s="16" t="inlineStr">
        <is>
          <t>USB Drive</t>
        </is>
      </c>
      <c r="D67" s="16" t="inlineStr">
        <is>
          <t>Electronics</t>
        </is>
      </c>
      <c r="E67" s="16" t="inlineStr">
        <is>
          <t>East</t>
        </is>
      </c>
      <c r="F67" s="16" t="inlineStr">
        <is>
          <t>Wholesale</t>
        </is>
      </c>
      <c r="G67" s="16" t="n">
        <v>4</v>
      </c>
      <c r="H67" s="18" t="n">
        <v>563.3</v>
      </c>
      <c r="I67" s="19" t="n">
        <v>0.15</v>
      </c>
      <c r="J67" s="18" t="n">
        <v>1915.22</v>
      </c>
      <c r="K67" s="18" t="n">
        <v>1067.18</v>
      </c>
      <c r="L67" s="18" t="n">
        <v>848.04</v>
      </c>
    </row>
    <row r="68">
      <c r="A68" s="16" t="inlineStr">
        <is>
          <t>ORD0015</t>
        </is>
      </c>
      <c r="B68" s="17" t="n">
        <v>45474</v>
      </c>
      <c r="C68" s="16" t="inlineStr">
        <is>
          <t>Mouse</t>
        </is>
      </c>
      <c r="D68" s="16" t="inlineStr">
        <is>
          <t>Electronics</t>
        </is>
      </c>
      <c r="E68" s="16" t="inlineStr">
        <is>
          <t>West</t>
        </is>
      </c>
      <c r="F68" s="16" t="inlineStr">
        <is>
          <t>Wholesale</t>
        </is>
      </c>
      <c r="G68" s="16" t="n">
        <v>4</v>
      </c>
      <c r="H68" s="18" t="n">
        <v>632.45</v>
      </c>
      <c r="I68" s="19" t="n">
        <v>0</v>
      </c>
      <c r="J68" s="18" t="n">
        <v>2529.8</v>
      </c>
      <c r="K68" s="18" t="n">
        <v>1670.27</v>
      </c>
      <c r="L68" s="18" t="n">
        <v>859.53</v>
      </c>
    </row>
    <row r="69">
      <c r="A69" s="16" t="inlineStr">
        <is>
          <t>ORD0239</t>
        </is>
      </c>
      <c r="B69" s="17" t="n">
        <v>45474</v>
      </c>
      <c r="C69" s="16" t="inlineStr">
        <is>
          <t>Backpack</t>
        </is>
      </c>
      <c r="D69" s="16" t="inlineStr">
        <is>
          <t>Fashion</t>
        </is>
      </c>
      <c r="E69" s="16" t="inlineStr">
        <is>
          <t>East</t>
        </is>
      </c>
      <c r="F69" s="16" t="inlineStr">
        <is>
          <t>Wholesale</t>
        </is>
      </c>
      <c r="G69" s="16" t="n">
        <v>4</v>
      </c>
      <c r="H69" s="18" t="n">
        <v>1713.28</v>
      </c>
      <c r="I69" s="19" t="n">
        <v>0</v>
      </c>
      <c r="J69" s="18" t="n">
        <v>6853.12</v>
      </c>
      <c r="K69" s="18" t="n">
        <v>5307.11</v>
      </c>
      <c r="L69" s="18" t="n">
        <v>1546.01</v>
      </c>
    </row>
    <row r="70">
      <c r="A70" s="16" t="inlineStr">
        <is>
          <t>ORD0091</t>
        </is>
      </c>
      <c r="B70" s="17" t="n">
        <v>45477</v>
      </c>
      <c r="C70" s="16" t="inlineStr">
        <is>
          <t>Wallet</t>
        </is>
      </c>
      <c r="D70" s="16" t="inlineStr">
        <is>
          <t>Fashion</t>
        </is>
      </c>
      <c r="E70" s="16" t="inlineStr">
        <is>
          <t>West</t>
        </is>
      </c>
      <c r="F70" s="16" t="inlineStr">
        <is>
          <t>Online</t>
        </is>
      </c>
      <c r="G70" s="16" t="n">
        <v>2</v>
      </c>
      <c r="H70" s="18" t="n">
        <v>760.88</v>
      </c>
      <c r="I70" s="19" t="n">
        <v>0.1</v>
      </c>
      <c r="J70" s="18" t="n">
        <v>1369.58</v>
      </c>
      <c r="K70" s="18" t="n">
        <v>830.87</v>
      </c>
      <c r="L70" s="18" t="n">
        <v>538.71</v>
      </c>
    </row>
    <row r="71">
      <c r="A71" s="16" t="inlineStr">
        <is>
          <t>ORD0139</t>
        </is>
      </c>
      <c r="B71" s="17" t="n">
        <v>45477</v>
      </c>
      <c r="C71" s="16" t="inlineStr">
        <is>
          <t>Storage Box</t>
        </is>
      </c>
      <c r="D71" s="16" t="inlineStr">
        <is>
          <t>Home &amp; Kitchen</t>
        </is>
      </c>
      <c r="E71" s="16" t="inlineStr">
        <is>
          <t>North</t>
        </is>
      </c>
      <c r="F71" s="16" t="inlineStr">
        <is>
          <t>Store</t>
        </is>
      </c>
      <c r="G71" s="16" t="n">
        <v>2</v>
      </c>
      <c r="H71" s="18" t="n">
        <v>719.72</v>
      </c>
      <c r="I71" s="19" t="n">
        <v>0</v>
      </c>
      <c r="J71" s="18" t="n">
        <v>1439.44</v>
      </c>
      <c r="K71" s="18" t="n">
        <v>782.85</v>
      </c>
      <c r="L71" s="18" t="n">
        <v>656.59</v>
      </c>
    </row>
    <row r="72">
      <c r="A72" s="16" t="inlineStr">
        <is>
          <t>ORD0073</t>
        </is>
      </c>
      <c r="B72" s="17" t="n">
        <v>45478</v>
      </c>
      <c r="C72" s="16" t="inlineStr">
        <is>
          <t>Backpack</t>
        </is>
      </c>
      <c r="D72" s="16" t="inlineStr">
        <is>
          <t>Fashion</t>
        </is>
      </c>
      <c r="E72" s="16" t="inlineStr">
        <is>
          <t>South</t>
        </is>
      </c>
      <c r="F72" s="16" t="inlineStr">
        <is>
          <t>Wholesale</t>
        </is>
      </c>
      <c r="G72" s="16" t="n">
        <v>6</v>
      </c>
      <c r="H72" s="18" t="n">
        <v>1693.86</v>
      </c>
      <c r="I72" s="19" t="n">
        <v>0.05</v>
      </c>
      <c r="J72" s="18" t="n">
        <v>9655</v>
      </c>
      <c r="K72" s="18" t="n">
        <v>5722.63</v>
      </c>
      <c r="L72" s="18" t="n">
        <v>3932.37</v>
      </c>
    </row>
    <row r="73">
      <c r="A73" s="16" t="inlineStr">
        <is>
          <t>ORD0251</t>
        </is>
      </c>
      <c r="B73" s="17" t="n">
        <v>45486</v>
      </c>
      <c r="C73" s="16" t="inlineStr">
        <is>
          <t>USB Drive</t>
        </is>
      </c>
      <c r="D73" s="16" t="inlineStr">
        <is>
          <t>Electronics</t>
        </is>
      </c>
      <c r="E73" s="16" t="inlineStr">
        <is>
          <t>North</t>
        </is>
      </c>
      <c r="F73" s="16" t="inlineStr">
        <is>
          <t>Wholesale</t>
        </is>
      </c>
      <c r="G73" s="16" t="n">
        <v>4</v>
      </c>
      <c r="H73" s="18" t="n">
        <v>601.41</v>
      </c>
      <c r="I73" s="19" t="n">
        <v>0</v>
      </c>
      <c r="J73" s="18" t="n">
        <v>2405.64</v>
      </c>
      <c r="K73" s="18" t="n">
        <v>1499.01</v>
      </c>
      <c r="L73" s="18" t="n">
        <v>906.63</v>
      </c>
    </row>
    <row r="74">
      <c r="A74" s="16" t="inlineStr">
        <is>
          <t>ORD0249</t>
        </is>
      </c>
      <c r="B74" s="17" t="n">
        <v>45487</v>
      </c>
      <c r="C74" s="16" t="inlineStr">
        <is>
          <t>Mouse</t>
        </is>
      </c>
      <c r="D74" s="16" t="inlineStr">
        <is>
          <t>Electronics</t>
        </is>
      </c>
      <c r="E74" s="16" t="inlineStr">
        <is>
          <t>West</t>
        </is>
      </c>
      <c r="F74" s="16" t="inlineStr">
        <is>
          <t>Online</t>
        </is>
      </c>
      <c r="G74" s="16" t="n">
        <v>7</v>
      </c>
      <c r="H74" s="18" t="n">
        <v>760.05</v>
      </c>
      <c r="I74" s="19" t="n">
        <v>0.15</v>
      </c>
      <c r="J74" s="18" t="n">
        <v>4522.3</v>
      </c>
      <c r="K74" s="18" t="n">
        <v>2398.1</v>
      </c>
      <c r="L74" s="18" t="n">
        <v>2124.2</v>
      </c>
    </row>
    <row r="75">
      <c r="A75" s="16" t="inlineStr">
        <is>
          <t>ORD0179</t>
        </is>
      </c>
      <c r="B75" s="17" t="n">
        <v>45487</v>
      </c>
      <c r="C75" s="16" t="inlineStr">
        <is>
          <t>Planner</t>
        </is>
      </c>
      <c r="D75" s="16" t="inlineStr">
        <is>
          <t>Stationery</t>
        </is>
      </c>
      <c r="E75" s="16" t="inlineStr">
        <is>
          <t>South</t>
        </is>
      </c>
      <c r="F75" s="16" t="inlineStr">
        <is>
          <t>Store</t>
        </is>
      </c>
      <c r="G75" s="16" t="n">
        <v>1</v>
      </c>
      <c r="H75" s="18" t="n">
        <v>403.56</v>
      </c>
      <c r="I75" s="19" t="n">
        <v>0.05</v>
      </c>
      <c r="J75" s="18" t="n">
        <v>383.38</v>
      </c>
      <c r="K75" s="18" t="n">
        <v>226.59</v>
      </c>
      <c r="L75" s="18" t="n">
        <v>156.79</v>
      </c>
    </row>
    <row r="76">
      <c r="A76" s="16" t="inlineStr">
        <is>
          <t>ORD0150</t>
        </is>
      </c>
      <c r="B76" s="17" t="n">
        <v>45494</v>
      </c>
      <c r="C76" s="16" t="inlineStr">
        <is>
          <t>Lunch Box</t>
        </is>
      </c>
      <c r="D76" s="16" t="inlineStr">
        <is>
          <t>Home &amp; Kitchen</t>
        </is>
      </c>
      <c r="E76" s="16" t="inlineStr">
        <is>
          <t>East</t>
        </is>
      </c>
      <c r="F76" s="16" t="inlineStr">
        <is>
          <t>Wholesale</t>
        </is>
      </c>
      <c r="G76" s="16" t="n">
        <v>2</v>
      </c>
      <c r="H76" s="18" t="n">
        <v>592.8</v>
      </c>
      <c r="I76" s="19" t="n">
        <v>0.1</v>
      </c>
      <c r="J76" s="18" t="n">
        <v>1067.04</v>
      </c>
      <c r="K76" s="18" t="n">
        <v>683.58</v>
      </c>
      <c r="L76" s="18" t="n">
        <v>383.46</v>
      </c>
    </row>
    <row r="77">
      <c r="A77" s="16" t="inlineStr">
        <is>
          <t>ORD0208</t>
        </is>
      </c>
      <c r="B77" s="17" t="n">
        <v>45495</v>
      </c>
      <c r="C77" s="16" t="inlineStr">
        <is>
          <t>T-Shirt</t>
        </is>
      </c>
      <c r="D77" s="16" t="inlineStr">
        <is>
          <t>Fashion</t>
        </is>
      </c>
      <c r="E77" s="16" t="inlineStr">
        <is>
          <t>East</t>
        </is>
      </c>
      <c r="F77" s="16" t="inlineStr">
        <is>
          <t>Online</t>
        </is>
      </c>
      <c r="G77" s="16" t="n">
        <v>1</v>
      </c>
      <c r="H77" s="18" t="n">
        <v>518.17</v>
      </c>
      <c r="I77" s="19" t="n">
        <v>0.05</v>
      </c>
      <c r="J77" s="18" t="n">
        <v>492.26</v>
      </c>
      <c r="K77" s="18" t="n">
        <v>358.87</v>
      </c>
      <c r="L77" s="18" t="n">
        <v>133.39</v>
      </c>
    </row>
    <row r="78">
      <c r="A78" s="16" t="inlineStr">
        <is>
          <t>ORD0178</t>
        </is>
      </c>
      <c r="B78" s="17" t="n">
        <v>45496</v>
      </c>
      <c r="C78" s="16" t="inlineStr">
        <is>
          <t>Mouse</t>
        </is>
      </c>
      <c r="D78" s="16" t="inlineStr">
        <is>
          <t>Electronics</t>
        </is>
      </c>
      <c r="E78" s="16" t="inlineStr">
        <is>
          <t>West</t>
        </is>
      </c>
      <c r="F78" s="16" t="inlineStr">
        <is>
          <t>Wholesale</t>
        </is>
      </c>
      <c r="G78" s="16" t="n">
        <v>5</v>
      </c>
      <c r="H78" s="18" t="n">
        <v>721.27</v>
      </c>
      <c r="I78" s="19" t="n">
        <v>0.15</v>
      </c>
      <c r="J78" s="18" t="n">
        <v>3065.4</v>
      </c>
      <c r="K78" s="18" t="n">
        <v>1971.31</v>
      </c>
      <c r="L78" s="18" t="n">
        <v>1094.09</v>
      </c>
    </row>
    <row r="79">
      <c r="A79" s="16" t="inlineStr">
        <is>
          <t>ORD0115</t>
        </is>
      </c>
      <c r="B79" s="17" t="n">
        <v>45497</v>
      </c>
      <c r="C79" s="16" t="inlineStr">
        <is>
          <t>Desk Lamp</t>
        </is>
      </c>
      <c r="D79" s="16" t="inlineStr">
        <is>
          <t>Home &amp; Kitchen</t>
        </is>
      </c>
      <c r="E79" s="16" t="inlineStr">
        <is>
          <t>East</t>
        </is>
      </c>
      <c r="F79" s="16" t="inlineStr">
        <is>
          <t>Store</t>
        </is>
      </c>
      <c r="G79" s="16" t="n">
        <v>5</v>
      </c>
      <c r="H79" s="18" t="n">
        <v>1596.93</v>
      </c>
      <c r="I79" s="19" t="n">
        <v>0.05</v>
      </c>
      <c r="J79" s="18" t="n">
        <v>7585.42</v>
      </c>
      <c r="K79" s="18" t="n">
        <v>5747.11</v>
      </c>
      <c r="L79" s="18" t="n">
        <v>1838.31</v>
      </c>
    </row>
    <row r="80">
      <c r="A80" s="16" t="inlineStr">
        <is>
          <t>ORD0039</t>
        </is>
      </c>
      <c r="B80" s="17" t="n">
        <v>45507</v>
      </c>
      <c r="C80" s="16" t="inlineStr">
        <is>
          <t>Water Bottle</t>
        </is>
      </c>
      <c r="D80" s="16" t="inlineStr">
        <is>
          <t>Home &amp; Kitchen</t>
        </is>
      </c>
      <c r="E80" s="16" t="inlineStr">
        <is>
          <t>North</t>
        </is>
      </c>
      <c r="F80" s="16" t="inlineStr">
        <is>
          <t>Online</t>
        </is>
      </c>
      <c r="G80" s="16" t="n">
        <v>6</v>
      </c>
      <c r="H80" s="18" t="n">
        <v>505.37</v>
      </c>
      <c r="I80" s="19" t="n">
        <v>0.1</v>
      </c>
      <c r="J80" s="18" t="n">
        <v>2729</v>
      </c>
      <c r="K80" s="18" t="n">
        <v>2110.06</v>
      </c>
      <c r="L80" s="18" t="n">
        <v>618.9400000000001</v>
      </c>
    </row>
    <row r="81">
      <c r="A81" s="16" t="inlineStr">
        <is>
          <t>ORD0144</t>
        </is>
      </c>
      <c r="B81" s="17" t="n">
        <v>45508</v>
      </c>
      <c r="C81" s="16" t="inlineStr">
        <is>
          <t>Desk Lamp</t>
        </is>
      </c>
      <c r="D81" s="16" t="inlineStr">
        <is>
          <t>Home &amp; Kitchen</t>
        </is>
      </c>
      <c r="E81" s="16" t="inlineStr">
        <is>
          <t>East</t>
        </is>
      </c>
      <c r="F81" s="16" t="inlineStr">
        <is>
          <t>Online</t>
        </is>
      </c>
      <c r="G81" s="16" t="n">
        <v>5</v>
      </c>
      <c r="H81" s="18" t="n">
        <v>1350.78</v>
      </c>
      <c r="I81" s="19" t="n">
        <v>0</v>
      </c>
      <c r="J81" s="18" t="n">
        <v>6753.9</v>
      </c>
      <c r="K81" s="18" t="n">
        <v>4385.44</v>
      </c>
      <c r="L81" s="18" t="n">
        <v>2368.46</v>
      </c>
    </row>
    <row r="82">
      <c r="A82" s="16" t="inlineStr">
        <is>
          <t>ORD0026</t>
        </is>
      </c>
      <c r="B82" s="17" t="n">
        <v>45510</v>
      </c>
      <c r="C82" s="16" t="inlineStr">
        <is>
          <t>T-Shirt</t>
        </is>
      </c>
      <c r="D82" s="16" t="inlineStr">
        <is>
          <t>Fashion</t>
        </is>
      </c>
      <c r="E82" s="16" t="inlineStr">
        <is>
          <t>East</t>
        </is>
      </c>
      <c r="F82" s="16" t="inlineStr">
        <is>
          <t>Store</t>
        </is>
      </c>
      <c r="G82" s="16" t="n">
        <v>3</v>
      </c>
      <c r="H82" s="18" t="n">
        <v>589.58</v>
      </c>
      <c r="I82" s="19" t="n">
        <v>0.1</v>
      </c>
      <c r="J82" s="18" t="n">
        <v>1591.87</v>
      </c>
      <c r="K82" s="18" t="n">
        <v>937.54</v>
      </c>
      <c r="L82" s="18" t="n">
        <v>654.33</v>
      </c>
    </row>
    <row r="83">
      <c r="A83" s="16" t="inlineStr">
        <is>
          <t>ORD0204</t>
        </is>
      </c>
      <c r="B83" s="17" t="n">
        <v>45512</v>
      </c>
      <c r="C83" s="16" t="inlineStr">
        <is>
          <t>Notebook Pack</t>
        </is>
      </c>
      <c r="D83" s="16" t="inlineStr">
        <is>
          <t>Stationery</t>
        </is>
      </c>
      <c r="E83" s="16" t="inlineStr">
        <is>
          <t>East</t>
        </is>
      </c>
      <c r="F83" s="16" t="inlineStr">
        <is>
          <t>Store</t>
        </is>
      </c>
      <c r="G83" s="16" t="n">
        <v>1</v>
      </c>
      <c r="H83" s="18" t="n">
        <v>237.12</v>
      </c>
      <c r="I83" s="19" t="n">
        <v>0.15</v>
      </c>
      <c r="J83" s="18" t="n">
        <v>201.55</v>
      </c>
      <c r="K83" s="18" t="n">
        <v>151.04</v>
      </c>
      <c r="L83" s="18" t="n">
        <v>50.51</v>
      </c>
    </row>
    <row r="84">
      <c r="A84" s="16" t="inlineStr">
        <is>
          <t>ORD0078</t>
        </is>
      </c>
      <c r="B84" s="17" t="n">
        <v>45513</v>
      </c>
      <c r="C84" s="16" t="inlineStr">
        <is>
          <t>Cap</t>
        </is>
      </c>
      <c r="D84" s="16" t="inlineStr">
        <is>
          <t>Fashion</t>
        </is>
      </c>
      <c r="E84" s="16" t="inlineStr">
        <is>
          <t>South</t>
        </is>
      </c>
      <c r="F84" s="16" t="inlineStr">
        <is>
          <t>Online</t>
        </is>
      </c>
      <c r="G84" s="16" t="n">
        <v>5</v>
      </c>
      <c r="H84" s="18" t="n">
        <v>417.61</v>
      </c>
      <c r="I84" s="19" t="n">
        <v>0</v>
      </c>
      <c r="J84" s="18" t="n">
        <v>2088.05</v>
      </c>
      <c r="K84" s="18" t="n">
        <v>1246.62</v>
      </c>
      <c r="L84" s="18" t="n">
        <v>841.4299999999999</v>
      </c>
    </row>
    <row r="85">
      <c r="A85" s="16" t="inlineStr">
        <is>
          <t>ORD0236</t>
        </is>
      </c>
      <c r="B85" s="17" t="n">
        <v>45515</v>
      </c>
      <c r="C85" s="16" t="inlineStr">
        <is>
          <t>Headphones</t>
        </is>
      </c>
      <c r="D85" s="16" t="inlineStr">
        <is>
          <t>Electronics</t>
        </is>
      </c>
      <c r="E85" s="16" t="inlineStr">
        <is>
          <t>West</t>
        </is>
      </c>
      <c r="F85" s="16" t="inlineStr">
        <is>
          <t>Online</t>
        </is>
      </c>
      <c r="G85" s="16" t="n">
        <v>7</v>
      </c>
      <c r="H85" s="18" t="n">
        <v>1164.7</v>
      </c>
      <c r="I85" s="19" t="n">
        <v>0</v>
      </c>
      <c r="J85" s="18" t="n">
        <v>8152.9</v>
      </c>
      <c r="K85" s="18" t="n">
        <v>5386.64</v>
      </c>
      <c r="L85" s="18" t="n">
        <v>2766.26</v>
      </c>
    </row>
    <row r="86">
      <c r="A86" s="16" t="inlineStr">
        <is>
          <t>ORD0012</t>
        </is>
      </c>
      <c r="B86" s="17" t="n">
        <v>45516</v>
      </c>
      <c r="C86" s="16" t="inlineStr">
        <is>
          <t>Storage Box</t>
        </is>
      </c>
      <c r="D86" s="16" t="inlineStr">
        <is>
          <t>Home &amp; Kitchen</t>
        </is>
      </c>
      <c r="E86" s="16" t="inlineStr">
        <is>
          <t>North</t>
        </is>
      </c>
      <c r="F86" s="16" t="inlineStr">
        <is>
          <t>Wholesale</t>
        </is>
      </c>
      <c r="G86" s="16" t="n">
        <v>2</v>
      </c>
      <c r="H86" s="18" t="n">
        <v>891.62</v>
      </c>
      <c r="I86" s="19" t="n">
        <v>0</v>
      </c>
      <c r="J86" s="18" t="n">
        <v>1783.24</v>
      </c>
      <c r="K86" s="18" t="n">
        <v>998.15</v>
      </c>
      <c r="L86" s="18" t="n">
        <v>785.09</v>
      </c>
    </row>
    <row r="87">
      <c r="A87" s="16" t="inlineStr">
        <is>
          <t>ORD0119</t>
        </is>
      </c>
      <c r="B87" s="17" t="n">
        <v>45518</v>
      </c>
      <c r="C87" s="16" t="inlineStr">
        <is>
          <t>USB Drive</t>
        </is>
      </c>
      <c r="D87" s="16" t="inlineStr">
        <is>
          <t>Electronics</t>
        </is>
      </c>
      <c r="E87" s="16" t="inlineStr">
        <is>
          <t>West</t>
        </is>
      </c>
      <c r="F87" s="16" t="inlineStr">
        <is>
          <t>Store</t>
        </is>
      </c>
      <c r="G87" s="16" t="n">
        <v>5</v>
      </c>
      <c r="H87" s="18" t="n">
        <v>592.48</v>
      </c>
      <c r="I87" s="19" t="n">
        <v>0</v>
      </c>
      <c r="J87" s="18" t="n">
        <v>2962.4</v>
      </c>
      <c r="K87" s="18" t="n">
        <v>1648.11</v>
      </c>
      <c r="L87" s="18" t="n">
        <v>1314.29</v>
      </c>
    </row>
    <row r="88">
      <c r="A88" s="16" t="inlineStr">
        <is>
          <t>ORD0161</t>
        </is>
      </c>
      <c r="B88" s="17" t="n">
        <v>45523</v>
      </c>
      <c r="C88" s="16" t="inlineStr">
        <is>
          <t>Lunch Box</t>
        </is>
      </c>
      <c r="D88" s="16" t="inlineStr">
        <is>
          <t>Home &amp; Kitchen</t>
        </is>
      </c>
      <c r="E88" s="16" t="inlineStr">
        <is>
          <t>West</t>
        </is>
      </c>
      <c r="F88" s="16" t="inlineStr">
        <is>
          <t>Wholesale</t>
        </is>
      </c>
      <c r="G88" s="16" t="n">
        <v>2</v>
      </c>
      <c r="H88" s="18" t="n">
        <v>619.79</v>
      </c>
      <c r="I88" s="19" t="n">
        <v>0</v>
      </c>
      <c r="J88" s="18" t="n">
        <v>1239.58</v>
      </c>
      <c r="K88" s="18" t="n">
        <v>808.21</v>
      </c>
      <c r="L88" s="18" t="n">
        <v>431.37</v>
      </c>
    </row>
    <row r="89">
      <c r="A89" s="16" t="inlineStr">
        <is>
          <t>ORD0113</t>
        </is>
      </c>
      <c r="B89" s="17" t="n">
        <v>45527</v>
      </c>
      <c r="C89" s="16" t="inlineStr">
        <is>
          <t>Pens Set</t>
        </is>
      </c>
      <c r="D89" s="16" t="inlineStr">
        <is>
          <t>Stationery</t>
        </is>
      </c>
      <c r="E89" s="16" t="inlineStr">
        <is>
          <t>West</t>
        </is>
      </c>
      <c r="F89" s="16" t="inlineStr">
        <is>
          <t>Store</t>
        </is>
      </c>
      <c r="G89" s="16" t="n">
        <v>4</v>
      </c>
      <c r="H89" s="18" t="n">
        <v>192.12</v>
      </c>
      <c r="I89" s="19" t="n">
        <v>0</v>
      </c>
      <c r="J89" s="18" t="n">
        <v>768.48</v>
      </c>
      <c r="K89" s="18" t="n">
        <v>525.14</v>
      </c>
      <c r="L89" s="18" t="n">
        <v>243.34</v>
      </c>
    </row>
    <row r="90">
      <c r="A90" s="16" t="inlineStr">
        <is>
          <t>ORD0290</t>
        </is>
      </c>
      <c r="B90" s="17" t="n">
        <v>45529</v>
      </c>
      <c r="C90" s="16" t="inlineStr">
        <is>
          <t>Backpack</t>
        </is>
      </c>
      <c r="D90" s="16" t="inlineStr">
        <is>
          <t>Fashion</t>
        </is>
      </c>
      <c r="E90" s="16" t="inlineStr">
        <is>
          <t>North</t>
        </is>
      </c>
      <c r="F90" s="16" t="inlineStr">
        <is>
          <t>Store</t>
        </is>
      </c>
      <c r="G90" s="16" t="n">
        <v>3</v>
      </c>
      <c r="H90" s="18" t="n">
        <v>1611.25</v>
      </c>
      <c r="I90" s="19" t="n">
        <v>0.1</v>
      </c>
      <c r="J90" s="18" t="n">
        <v>4350.38</v>
      </c>
      <c r="K90" s="18" t="n">
        <v>2709.64</v>
      </c>
      <c r="L90" s="18" t="n">
        <v>1640.74</v>
      </c>
    </row>
    <row r="91">
      <c r="A91" s="16" t="inlineStr">
        <is>
          <t>ORD0007</t>
        </is>
      </c>
      <c r="B91" s="17" t="n">
        <v>45530</v>
      </c>
      <c r="C91" s="16" t="inlineStr">
        <is>
          <t>USB Drive</t>
        </is>
      </c>
      <c r="D91" s="16" t="inlineStr">
        <is>
          <t>Electronics</t>
        </is>
      </c>
      <c r="E91" s="16" t="inlineStr">
        <is>
          <t>South</t>
        </is>
      </c>
      <c r="F91" s="16" t="inlineStr">
        <is>
          <t>Online</t>
        </is>
      </c>
      <c r="G91" s="16" t="n">
        <v>5</v>
      </c>
      <c r="H91" s="18" t="n">
        <v>554.78</v>
      </c>
      <c r="I91" s="19" t="n">
        <v>0.05</v>
      </c>
      <c r="J91" s="18" t="n">
        <v>2635.2</v>
      </c>
      <c r="K91" s="18" t="n">
        <v>1481.75</v>
      </c>
      <c r="L91" s="18" t="n">
        <v>1153.45</v>
      </c>
    </row>
    <row r="92">
      <c r="A92" s="16" t="inlineStr">
        <is>
          <t>ORD0229</t>
        </is>
      </c>
      <c r="B92" s="17" t="n">
        <v>45533</v>
      </c>
      <c r="C92" s="16" t="inlineStr">
        <is>
          <t>Headphones</t>
        </is>
      </c>
      <c r="D92" s="16" t="inlineStr">
        <is>
          <t>Electronics</t>
        </is>
      </c>
      <c r="E92" s="16" t="inlineStr">
        <is>
          <t>South</t>
        </is>
      </c>
      <c r="F92" s="16" t="inlineStr">
        <is>
          <t>Wholesale</t>
        </is>
      </c>
      <c r="G92" s="16" t="n">
        <v>8</v>
      </c>
      <c r="H92" s="18" t="n">
        <v>1148.86</v>
      </c>
      <c r="I92" s="19" t="n">
        <v>0.1</v>
      </c>
      <c r="J92" s="18" t="n">
        <v>8271.790000000001</v>
      </c>
      <c r="K92" s="18" t="n">
        <v>5776.85</v>
      </c>
      <c r="L92" s="18" t="n">
        <v>2494.94</v>
      </c>
    </row>
    <row r="93">
      <c r="A93" s="16" t="inlineStr">
        <is>
          <t>ORD0056</t>
        </is>
      </c>
      <c r="B93" s="17" t="n">
        <v>45536</v>
      </c>
      <c r="C93" s="16" t="inlineStr">
        <is>
          <t>Markers</t>
        </is>
      </c>
      <c r="D93" s="16" t="inlineStr">
        <is>
          <t>Stationery</t>
        </is>
      </c>
      <c r="E93" s="16" t="inlineStr">
        <is>
          <t>South</t>
        </is>
      </c>
      <c r="F93" s="16" t="inlineStr">
        <is>
          <t>Wholesale</t>
        </is>
      </c>
      <c r="G93" s="16" t="n">
        <v>2</v>
      </c>
      <c r="H93" s="18" t="n">
        <v>241.94</v>
      </c>
      <c r="I93" s="19" t="n">
        <v>0</v>
      </c>
      <c r="J93" s="18" t="n">
        <v>483.88</v>
      </c>
      <c r="K93" s="18" t="n">
        <v>285.8</v>
      </c>
      <c r="L93" s="18" t="n">
        <v>198.08</v>
      </c>
    </row>
    <row r="94">
      <c r="A94" s="16" t="inlineStr">
        <is>
          <t>ORD0176</t>
        </is>
      </c>
      <c r="B94" s="17" t="n">
        <v>45538</v>
      </c>
      <c r="C94" s="16" t="inlineStr">
        <is>
          <t>Mouse</t>
        </is>
      </c>
      <c r="D94" s="16" t="inlineStr">
        <is>
          <t>Electronics</t>
        </is>
      </c>
      <c r="E94" s="16" t="inlineStr">
        <is>
          <t>North</t>
        </is>
      </c>
      <c r="F94" s="16" t="inlineStr">
        <is>
          <t>Wholesale</t>
        </is>
      </c>
      <c r="G94" s="16" t="n">
        <v>3</v>
      </c>
      <c r="H94" s="18" t="n">
        <v>605.86</v>
      </c>
      <c r="I94" s="19" t="n">
        <v>0.15</v>
      </c>
      <c r="J94" s="18" t="n">
        <v>1544.94</v>
      </c>
      <c r="K94" s="18" t="n">
        <v>939.36</v>
      </c>
      <c r="L94" s="18" t="n">
        <v>605.58</v>
      </c>
    </row>
    <row r="95">
      <c r="A95" s="16" t="inlineStr">
        <is>
          <t>ORD0201</t>
        </is>
      </c>
      <c r="B95" s="17" t="n">
        <v>45539</v>
      </c>
      <c r="C95" s="16" t="inlineStr">
        <is>
          <t>T-Shirt</t>
        </is>
      </c>
      <c r="D95" s="16" t="inlineStr">
        <is>
          <t>Fashion</t>
        </is>
      </c>
      <c r="E95" s="16" t="inlineStr">
        <is>
          <t>South</t>
        </is>
      </c>
      <c r="F95" s="16" t="inlineStr">
        <is>
          <t>Store</t>
        </is>
      </c>
      <c r="G95" s="16" t="n">
        <v>5</v>
      </c>
      <c r="H95" s="18" t="n">
        <v>604.42</v>
      </c>
      <c r="I95" s="19" t="n">
        <v>0</v>
      </c>
      <c r="J95" s="18" t="n">
        <v>3022.1</v>
      </c>
      <c r="K95" s="18" t="n">
        <v>1647.56</v>
      </c>
      <c r="L95" s="18" t="n">
        <v>1374.54</v>
      </c>
    </row>
    <row r="96">
      <c r="A96" s="16" t="inlineStr">
        <is>
          <t>ORD0248</t>
        </is>
      </c>
      <c r="B96" s="17" t="n">
        <v>45540</v>
      </c>
      <c r="C96" s="16" t="inlineStr">
        <is>
          <t>Pens Set</t>
        </is>
      </c>
      <c r="D96" s="16" t="inlineStr">
        <is>
          <t>Stationery</t>
        </is>
      </c>
      <c r="E96" s="16" t="inlineStr">
        <is>
          <t>West</t>
        </is>
      </c>
      <c r="F96" s="16" t="inlineStr">
        <is>
          <t>Wholesale</t>
        </is>
      </c>
      <c r="G96" s="16" t="n">
        <v>6</v>
      </c>
      <c r="H96" s="18" t="n">
        <v>193.74</v>
      </c>
      <c r="I96" s="19" t="n">
        <v>0.1</v>
      </c>
      <c r="J96" s="18" t="n">
        <v>1046.2</v>
      </c>
      <c r="K96" s="18" t="n">
        <v>774.45</v>
      </c>
      <c r="L96" s="18" t="n">
        <v>271.75</v>
      </c>
    </row>
    <row r="97">
      <c r="A97" s="16" t="inlineStr">
        <is>
          <t>ORD0041</t>
        </is>
      </c>
      <c r="B97" s="17" t="n">
        <v>45546</v>
      </c>
      <c r="C97" s="16" t="inlineStr">
        <is>
          <t>Pens Set</t>
        </is>
      </c>
      <c r="D97" s="16" t="inlineStr">
        <is>
          <t>Stationery</t>
        </is>
      </c>
      <c r="E97" s="16" t="inlineStr">
        <is>
          <t>North</t>
        </is>
      </c>
      <c r="F97" s="16" t="inlineStr">
        <is>
          <t>Online</t>
        </is>
      </c>
      <c r="G97" s="16" t="n">
        <v>2</v>
      </c>
      <c r="H97" s="18" t="n">
        <v>177.1</v>
      </c>
      <c r="I97" s="19" t="n">
        <v>0</v>
      </c>
      <c r="J97" s="18" t="n">
        <v>354.2</v>
      </c>
      <c r="K97" s="18" t="n">
        <v>263.25</v>
      </c>
      <c r="L97" s="18" t="n">
        <v>90.95</v>
      </c>
    </row>
    <row r="98">
      <c r="A98" s="16" t="inlineStr">
        <is>
          <t>ORD0284</t>
        </is>
      </c>
      <c r="B98" s="17" t="n">
        <v>45546</v>
      </c>
      <c r="C98" s="16" t="inlineStr">
        <is>
          <t>Pens Set</t>
        </is>
      </c>
      <c r="D98" s="16" t="inlineStr">
        <is>
          <t>Stationery</t>
        </is>
      </c>
      <c r="E98" s="16" t="inlineStr">
        <is>
          <t>South</t>
        </is>
      </c>
      <c r="F98" s="16" t="inlineStr">
        <is>
          <t>Store</t>
        </is>
      </c>
      <c r="G98" s="16" t="n">
        <v>1</v>
      </c>
      <c r="H98" s="18" t="n">
        <v>188.48</v>
      </c>
      <c r="I98" s="19" t="n">
        <v>0.1</v>
      </c>
      <c r="J98" s="18" t="n">
        <v>169.63</v>
      </c>
      <c r="K98" s="18" t="n">
        <v>130.85</v>
      </c>
      <c r="L98" s="18" t="n">
        <v>38.78</v>
      </c>
    </row>
    <row r="99">
      <c r="A99" s="16" t="inlineStr">
        <is>
          <t>ORD0109</t>
        </is>
      </c>
      <c r="B99" s="17" t="n">
        <v>45552</v>
      </c>
      <c r="C99" s="16" t="inlineStr">
        <is>
          <t>Cap</t>
        </is>
      </c>
      <c r="D99" s="16" t="inlineStr">
        <is>
          <t>Fashion</t>
        </is>
      </c>
      <c r="E99" s="16" t="inlineStr">
        <is>
          <t>North</t>
        </is>
      </c>
      <c r="F99" s="16" t="inlineStr">
        <is>
          <t>Online</t>
        </is>
      </c>
      <c r="G99" s="16" t="n">
        <v>1</v>
      </c>
      <c r="H99" s="18" t="n">
        <v>407.62</v>
      </c>
      <c r="I99" s="19" t="n">
        <v>0.1</v>
      </c>
      <c r="J99" s="18" t="n">
        <v>366.86</v>
      </c>
      <c r="K99" s="18" t="n">
        <v>276.73</v>
      </c>
      <c r="L99" s="18" t="n">
        <v>90.13</v>
      </c>
    </row>
    <row r="100">
      <c r="A100" s="16" t="inlineStr">
        <is>
          <t>ORD0034</t>
        </is>
      </c>
      <c r="B100" s="17" t="n">
        <v>45562</v>
      </c>
      <c r="C100" s="16" t="inlineStr">
        <is>
          <t>Headphones</t>
        </is>
      </c>
      <c r="D100" s="16" t="inlineStr">
        <is>
          <t>Electronics</t>
        </is>
      </c>
      <c r="E100" s="16" t="inlineStr">
        <is>
          <t>South</t>
        </is>
      </c>
      <c r="F100" s="16" t="inlineStr">
        <is>
          <t>Online</t>
        </is>
      </c>
      <c r="G100" s="16" t="n">
        <v>3</v>
      </c>
      <c r="H100" s="18" t="n">
        <v>1134.39</v>
      </c>
      <c r="I100" s="19" t="n">
        <v>0.15</v>
      </c>
      <c r="J100" s="18" t="n">
        <v>2892.69</v>
      </c>
      <c r="K100" s="18" t="n">
        <v>1662.61</v>
      </c>
      <c r="L100" s="18" t="n">
        <v>1230.08</v>
      </c>
    </row>
    <row r="101">
      <c r="A101" s="16" t="inlineStr">
        <is>
          <t>ORD0011</t>
        </is>
      </c>
      <c r="B101" s="17" t="n">
        <v>45563</v>
      </c>
      <c r="C101" s="16" t="inlineStr">
        <is>
          <t>Lunch Box</t>
        </is>
      </c>
      <c r="D101" s="16" t="inlineStr">
        <is>
          <t>Home &amp; Kitchen</t>
        </is>
      </c>
      <c r="E101" s="16" t="inlineStr">
        <is>
          <t>East</t>
        </is>
      </c>
      <c r="F101" s="16" t="inlineStr">
        <is>
          <t>Store</t>
        </is>
      </c>
      <c r="G101" s="16" t="n">
        <v>5</v>
      </c>
      <c r="H101" s="18" t="n">
        <v>722.45</v>
      </c>
      <c r="I101" s="19" t="n">
        <v>0.1</v>
      </c>
      <c r="J101" s="18" t="n">
        <v>3251.03</v>
      </c>
      <c r="K101" s="18" t="n">
        <v>2449.44</v>
      </c>
      <c r="L101" s="18" t="n">
        <v>801.59</v>
      </c>
    </row>
    <row r="102">
      <c r="A102" s="16" t="inlineStr">
        <is>
          <t>ORD0181</t>
        </is>
      </c>
      <c r="B102" s="17" t="n">
        <v>45565</v>
      </c>
      <c r="C102" s="16" t="inlineStr">
        <is>
          <t>USB Drive</t>
        </is>
      </c>
      <c r="D102" s="16" t="inlineStr">
        <is>
          <t>Electronics</t>
        </is>
      </c>
      <c r="E102" s="16" t="inlineStr">
        <is>
          <t>South</t>
        </is>
      </c>
      <c r="F102" s="16" t="inlineStr">
        <is>
          <t>Online</t>
        </is>
      </c>
      <c r="G102" s="16" t="n">
        <v>2</v>
      </c>
      <c r="H102" s="18" t="n">
        <v>550.39</v>
      </c>
      <c r="I102" s="19" t="n">
        <v>0</v>
      </c>
      <c r="J102" s="18" t="n">
        <v>1100.78</v>
      </c>
      <c r="K102" s="18" t="n">
        <v>728.52</v>
      </c>
      <c r="L102" s="18" t="n">
        <v>372.26</v>
      </c>
    </row>
    <row r="103">
      <c r="A103" s="16" t="inlineStr">
        <is>
          <t>ORD0275</t>
        </is>
      </c>
      <c r="B103" s="17" t="n">
        <v>45567</v>
      </c>
      <c r="C103" s="16" t="inlineStr">
        <is>
          <t>Planner</t>
        </is>
      </c>
      <c r="D103" s="16" t="inlineStr">
        <is>
          <t>Stationery</t>
        </is>
      </c>
      <c r="E103" s="16" t="inlineStr">
        <is>
          <t>East</t>
        </is>
      </c>
      <c r="F103" s="16" t="inlineStr">
        <is>
          <t>Store</t>
        </is>
      </c>
      <c r="G103" s="16" t="n">
        <v>8</v>
      </c>
      <c r="H103" s="18" t="n">
        <v>315.38</v>
      </c>
      <c r="I103" s="19" t="n">
        <v>0</v>
      </c>
      <c r="J103" s="18" t="n">
        <v>2523.04</v>
      </c>
      <c r="K103" s="18" t="n">
        <v>1597.12</v>
      </c>
      <c r="L103" s="18" t="n">
        <v>925.92</v>
      </c>
    </row>
    <row r="104">
      <c r="A104" s="16" t="inlineStr">
        <is>
          <t>ORD0142</t>
        </is>
      </c>
      <c r="B104" s="17" t="n">
        <v>45571</v>
      </c>
      <c r="C104" s="16" t="inlineStr">
        <is>
          <t>Water Bottle</t>
        </is>
      </c>
      <c r="D104" s="16" t="inlineStr">
        <is>
          <t>Home &amp; Kitchen</t>
        </is>
      </c>
      <c r="E104" s="16" t="inlineStr">
        <is>
          <t>East</t>
        </is>
      </c>
      <c r="F104" s="16" t="inlineStr">
        <is>
          <t>Wholesale</t>
        </is>
      </c>
      <c r="G104" s="16" t="n">
        <v>6</v>
      </c>
      <c r="H104" s="18" t="n">
        <v>450.21</v>
      </c>
      <c r="I104" s="19" t="n">
        <v>0.05</v>
      </c>
      <c r="J104" s="18" t="n">
        <v>2566.2</v>
      </c>
      <c r="K104" s="18" t="n">
        <v>1786.94</v>
      </c>
      <c r="L104" s="18" t="n">
        <v>779.26</v>
      </c>
    </row>
    <row r="105">
      <c r="A105" s="16" t="inlineStr">
        <is>
          <t>ORD0217</t>
        </is>
      </c>
      <c r="B105" s="17" t="n">
        <v>45572</v>
      </c>
      <c r="C105" s="16" t="inlineStr">
        <is>
          <t>Notebook Pack</t>
        </is>
      </c>
      <c r="D105" s="16" t="inlineStr">
        <is>
          <t>Stationery</t>
        </is>
      </c>
      <c r="E105" s="16" t="inlineStr">
        <is>
          <t>North</t>
        </is>
      </c>
      <c r="F105" s="16" t="inlineStr">
        <is>
          <t>Store</t>
        </is>
      </c>
      <c r="G105" s="16" t="n">
        <v>7</v>
      </c>
      <c r="H105" s="18" t="n">
        <v>290.88</v>
      </c>
      <c r="I105" s="19" t="n">
        <v>0.1</v>
      </c>
      <c r="J105" s="18" t="n">
        <v>1832.54</v>
      </c>
      <c r="K105" s="18" t="n">
        <v>1342.85</v>
      </c>
      <c r="L105" s="18" t="n">
        <v>489.69</v>
      </c>
    </row>
    <row r="106">
      <c r="A106" s="16" t="inlineStr">
        <is>
          <t>ORD0131</t>
        </is>
      </c>
      <c r="B106" s="17" t="n">
        <v>45573</v>
      </c>
      <c r="C106" s="16" t="inlineStr">
        <is>
          <t>Markers</t>
        </is>
      </c>
      <c r="D106" s="16" t="inlineStr">
        <is>
          <t>Stationery</t>
        </is>
      </c>
      <c r="E106" s="16" t="inlineStr">
        <is>
          <t>West</t>
        </is>
      </c>
      <c r="F106" s="16" t="inlineStr">
        <is>
          <t>Wholesale</t>
        </is>
      </c>
      <c r="G106" s="16" t="n">
        <v>5</v>
      </c>
      <c r="H106" s="18" t="n">
        <v>221.94</v>
      </c>
      <c r="I106" s="19" t="n">
        <v>0.15</v>
      </c>
      <c r="J106" s="18" t="n">
        <v>943.25</v>
      </c>
      <c r="K106" s="18" t="n">
        <v>595.99</v>
      </c>
      <c r="L106" s="18" t="n">
        <v>347.26</v>
      </c>
    </row>
    <row r="107">
      <c r="A107" s="16" t="inlineStr">
        <is>
          <t>ORD0260</t>
        </is>
      </c>
      <c r="B107" s="17" t="n">
        <v>45573</v>
      </c>
      <c r="C107" s="16" t="inlineStr">
        <is>
          <t>Notebook Pack</t>
        </is>
      </c>
      <c r="D107" s="16" t="inlineStr">
        <is>
          <t>Stationery</t>
        </is>
      </c>
      <c r="E107" s="16" t="inlineStr">
        <is>
          <t>West</t>
        </is>
      </c>
      <c r="F107" s="16" t="inlineStr">
        <is>
          <t>Wholesale</t>
        </is>
      </c>
      <c r="G107" s="16" t="n">
        <v>7</v>
      </c>
      <c r="H107" s="18" t="n">
        <v>283.04</v>
      </c>
      <c r="I107" s="19" t="n">
        <v>0</v>
      </c>
      <c r="J107" s="18" t="n">
        <v>1981.28</v>
      </c>
      <c r="K107" s="18" t="n">
        <v>1085.39</v>
      </c>
      <c r="L107" s="18" t="n">
        <v>895.89</v>
      </c>
    </row>
    <row r="108">
      <c r="A108" s="16" t="inlineStr">
        <is>
          <t>ORD0099</t>
        </is>
      </c>
      <c r="B108" s="17" t="n">
        <v>45574</v>
      </c>
      <c r="C108" s="16" t="inlineStr">
        <is>
          <t>Cap</t>
        </is>
      </c>
      <c r="D108" s="16" t="inlineStr">
        <is>
          <t>Fashion</t>
        </is>
      </c>
      <c r="E108" s="16" t="inlineStr">
        <is>
          <t>East</t>
        </is>
      </c>
      <c r="F108" s="16" t="inlineStr">
        <is>
          <t>Online</t>
        </is>
      </c>
      <c r="G108" s="16" t="n">
        <v>5</v>
      </c>
      <c r="H108" s="18" t="n">
        <v>398.02</v>
      </c>
      <c r="I108" s="19" t="n">
        <v>0.05</v>
      </c>
      <c r="J108" s="18" t="n">
        <v>1890.59</v>
      </c>
      <c r="K108" s="18" t="n">
        <v>1340</v>
      </c>
      <c r="L108" s="18" t="n">
        <v>550.59</v>
      </c>
    </row>
    <row r="109">
      <c r="A109" s="16" t="inlineStr">
        <is>
          <t>ORD0072</t>
        </is>
      </c>
      <c r="B109" s="17" t="n">
        <v>45577</v>
      </c>
      <c r="C109" s="16" t="inlineStr">
        <is>
          <t>Backpack</t>
        </is>
      </c>
      <c r="D109" s="16" t="inlineStr">
        <is>
          <t>Fashion</t>
        </is>
      </c>
      <c r="E109" s="16" t="inlineStr">
        <is>
          <t>East</t>
        </is>
      </c>
      <c r="F109" s="16" t="inlineStr">
        <is>
          <t>Store</t>
        </is>
      </c>
      <c r="G109" s="16" t="n">
        <v>8</v>
      </c>
      <c r="H109" s="18" t="n">
        <v>1574.17</v>
      </c>
      <c r="I109" s="19" t="n">
        <v>0.1</v>
      </c>
      <c r="J109" s="18" t="n">
        <v>11334.02</v>
      </c>
      <c r="K109" s="18" t="n">
        <v>6885</v>
      </c>
      <c r="L109" s="18" t="n">
        <v>4449.02</v>
      </c>
    </row>
    <row r="110">
      <c r="A110" s="16" t="inlineStr">
        <is>
          <t>ORD0043</t>
        </is>
      </c>
      <c r="B110" s="17" t="n">
        <v>45577</v>
      </c>
      <c r="C110" s="16" t="inlineStr">
        <is>
          <t>Markers</t>
        </is>
      </c>
      <c r="D110" s="16" t="inlineStr">
        <is>
          <t>Stationery</t>
        </is>
      </c>
      <c r="E110" s="16" t="inlineStr">
        <is>
          <t>South</t>
        </is>
      </c>
      <c r="F110" s="16" t="inlineStr">
        <is>
          <t>Online</t>
        </is>
      </c>
      <c r="G110" s="16" t="n">
        <v>6</v>
      </c>
      <c r="H110" s="18" t="n">
        <v>259.32</v>
      </c>
      <c r="I110" s="19" t="n">
        <v>0</v>
      </c>
      <c r="J110" s="18" t="n">
        <v>1555.92</v>
      </c>
      <c r="K110" s="18" t="n">
        <v>1163.87</v>
      </c>
      <c r="L110" s="18" t="n">
        <v>392.05</v>
      </c>
    </row>
    <row r="111">
      <c r="A111" s="16" t="inlineStr">
        <is>
          <t>ORD0207</t>
        </is>
      </c>
      <c r="B111" s="17" t="n">
        <v>45578</v>
      </c>
      <c r="C111" s="16" t="inlineStr">
        <is>
          <t>Keyboard</t>
        </is>
      </c>
      <c r="D111" s="16" t="inlineStr">
        <is>
          <t>Electronics</t>
        </is>
      </c>
      <c r="E111" s="16" t="inlineStr">
        <is>
          <t>South</t>
        </is>
      </c>
      <c r="F111" s="16" t="inlineStr">
        <is>
          <t>Online</t>
        </is>
      </c>
      <c r="G111" s="16" t="n">
        <v>2</v>
      </c>
      <c r="H111" s="18" t="n">
        <v>1778.16</v>
      </c>
      <c r="I111" s="19" t="n">
        <v>0.05</v>
      </c>
      <c r="J111" s="18" t="n">
        <v>3378.5</v>
      </c>
      <c r="K111" s="18" t="n">
        <v>2246.83</v>
      </c>
      <c r="L111" s="18" t="n">
        <v>1131.67</v>
      </c>
    </row>
    <row r="112">
      <c r="A112" s="16" t="inlineStr">
        <is>
          <t>ORD0172</t>
        </is>
      </c>
      <c r="B112" s="17" t="n">
        <v>45587</v>
      </c>
      <c r="C112" s="16" t="inlineStr">
        <is>
          <t>Desk Lamp</t>
        </is>
      </c>
      <c r="D112" s="16" t="inlineStr">
        <is>
          <t>Home &amp; Kitchen</t>
        </is>
      </c>
      <c r="E112" s="16" t="inlineStr">
        <is>
          <t>East</t>
        </is>
      </c>
      <c r="F112" s="16" t="inlineStr">
        <is>
          <t>Online</t>
        </is>
      </c>
      <c r="G112" s="16" t="n">
        <v>2</v>
      </c>
      <c r="H112" s="18" t="n">
        <v>1213.4</v>
      </c>
      <c r="I112" s="19" t="n">
        <v>0.1</v>
      </c>
      <c r="J112" s="18" t="n">
        <v>2184.12</v>
      </c>
      <c r="K112" s="18" t="n">
        <v>1498.58</v>
      </c>
      <c r="L112" s="18" t="n">
        <v>685.54</v>
      </c>
    </row>
    <row r="113">
      <c r="A113" s="16" t="inlineStr">
        <is>
          <t>ORD0216</t>
        </is>
      </c>
      <c r="B113" s="17" t="n">
        <v>45597</v>
      </c>
      <c r="C113" s="16" t="inlineStr">
        <is>
          <t>Desk Lamp</t>
        </is>
      </c>
      <c r="D113" s="16" t="inlineStr">
        <is>
          <t>Home &amp; Kitchen</t>
        </is>
      </c>
      <c r="E113" s="16" t="inlineStr">
        <is>
          <t>South</t>
        </is>
      </c>
      <c r="F113" s="16" t="inlineStr">
        <is>
          <t>Wholesale</t>
        </is>
      </c>
      <c r="G113" s="16" t="n">
        <v>5</v>
      </c>
      <c r="H113" s="18" t="n">
        <v>1535.4</v>
      </c>
      <c r="I113" s="19" t="n">
        <v>0.1</v>
      </c>
      <c r="J113" s="18" t="n">
        <v>6909.3</v>
      </c>
      <c r="K113" s="18" t="n">
        <v>4162.37</v>
      </c>
      <c r="L113" s="18" t="n">
        <v>2746.93</v>
      </c>
    </row>
    <row r="114">
      <c r="A114" s="16" t="inlineStr">
        <is>
          <t>ORD0079</t>
        </is>
      </c>
      <c r="B114" s="17" t="n">
        <v>45601</v>
      </c>
      <c r="C114" s="16" t="inlineStr">
        <is>
          <t>Keyboard</t>
        </is>
      </c>
      <c r="D114" s="16" t="inlineStr">
        <is>
          <t>Electronics</t>
        </is>
      </c>
      <c r="E114" s="16" t="inlineStr">
        <is>
          <t>North</t>
        </is>
      </c>
      <c r="F114" s="16" t="inlineStr">
        <is>
          <t>Wholesale</t>
        </is>
      </c>
      <c r="G114" s="16" t="n">
        <v>5</v>
      </c>
      <c r="H114" s="18" t="n">
        <v>1558.67</v>
      </c>
      <c r="I114" s="19" t="n">
        <v>0</v>
      </c>
      <c r="J114" s="18" t="n">
        <v>7793.35</v>
      </c>
      <c r="K114" s="18" t="n">
        <v>5173.8</v>
      </c>
      <c r="L114" s="18" t="n">
        <v>2619.55</v>
      </c>
    </row>
    <row r="115">
      <c r="A115" s="16" t="inlineStr">
        <is>
          <t>ORD0077</t>
        </is>
      </c>
      <c r="B115" s="17" t="n">
        <v>45605</v>
      </c>
      <c r="C115" s="16" t="inlineStr">
        <is>
          <t>Pens Set</t>
        </is>
      </c>
      <c r="D115" s="16" t="inlineStr">
        <is>
          <t>Stationery</t>
        </is>
      </c>
      <c r="E115" s="16" t="inlineStr">
        <is>
          <t>North</t>
        </is>
      </c>
      <c r="F115" s="16" t="inlineStr">
        <is>
          <t>Online</t>
        </is>
      </c>
      <c r="G115" s="16" t="n">
        <v>2</v>
      </c>
      <c r="H115" s="18" t="n">
        <v>198.44</v>
      </c>
      <c r="I115" s="19" t="n">
        <v>0.05</v>
      </c>
      <c r="J115" s="18" t="n">
        <v>377.04</v>
      </c>
      <c r="K115" s="18" t="n">
        <v>207.78</v>
      </c>
      <c r="L115" s="18" t="n">
        <v>169.26</v>
      </c>
    </row>
    <row r="116">
      <c r="A116" s="16" t="inlineStr">
        <is>
          <t>ORD0047</t>
        </is>
      </c>
      <c r="B116" s="17" t="n">
        <v>45608</v>
      </c>
      <c r="C116" s="16" t="inlineStr">
        <is>
          <t>Cap</t>
        </is>
      </c>
      <c r="D116" s="16" t="inlineStr">
        <is>
          <t>Fashion</t>
        </is>
      </c>
      <c r="E116" s="16" t="inlineStr">
        <is>
          <t>East</t>
        </is>
      </c>
      <c r="F116" s="16" t="inlineStr">
        <is>
          <t>Wholesale</t>
        </is>
      </c>
      <c r="G116" s="16" t="n">
        <v>7</v>
      </c>
      <c r="H116" s="18" t="n">
        <v>382.91</v>
      </c>
      <c r="I116" s="19" t="n">
        <v>0.15</v>
      </c>
      <c r="J116" s="18" t="n">
        <v>2278.31</v>
      </c>
      <c r="K116" s="18" t="n">
        <v>1260.12</v>
      </c>
      <c r="L116" s="18" t="n">
        <v>1018.19</v>
      </c>
    </row>
    <row r="117">
      <c r="A117" s="16" t="inlineStr">
        <is>
          <t>ORD0192</t>
        </is>
      </c>
      <c r="B117" s="17" t="n">
        <v>45608</v>
      </c>
      <c r="C117" s="16" t="inlineStr">
        <is>
          <t>Wallet</t>
        </is>
      </c>
      <c r="D117" s="16" t="inlineStr">
        <is>
          <t>Fashion</t>
        </is>
      </c>
      <c r="E117" s="16" t="inlineStr">
        <is>
          <t>South</t>
        </is>
      </c>
      <c r="F117" s="16" t="inlineStr">
        <is>
          <t>Wholesale</t>
        </is>
      </c>
      <c r="G117" s="16" t="n">
        <v>7</v>
      </c>
      <c r="H117" s="18" t="n">
        <v>839.41</v>
      </c>
      <c r="I117" s="19" t="n">
        <v>0.15</v>
      </c>
      <c r="J117" s="18" t="n">
        <v>4994.49</v>
      </c>
      <c r="K117" s="18" t="n">
        <v>2692.91</v>
      </c>
      <c r="L117" s="18" t="n">
        <v>2301.58</v>
      </c>
    </row>
    <row r="118">
      <c r="A118" s="16" t="inlineStr">
        <is>
          <t>ORD0067</t>
        </is>
      </c>
      <c r="B118" s="17" t="n">
        <v>45610</v>
      </c>
      <c r="C118" s="16" t="inlineStr">
        <is>
          <t>Headphones</t>
        </is>
      </c>
      <c r="D118" s="16" t="inlineStr">
        <is>
          <t>Electronics</t>
        </is>
      </c>
      <c r="E118" s="16" t="inlineStr">
        <is>
          <t>North</t>
        </is>
      </c>
      <c r="F118" s="16" t="inlineStr">
        <is>
          <t>Online</t>
        </is>
      </c>
      <c r="G118" s="16" t="n">
        <v>5</v>
      </c>
      <c r="H118" s="18" t="n">
        <v>1261.83</v>
      </c>
      <c r="I118" s="19" t="n">
        <v>0.1</v>
      </c>
      <c r="J118" s="18" t="n">
        <v>5678.23</v>
      </c>
      <c r="K118" s="18" t="n">
        <v>3538.28</v>
      </c>
      <c r="L118" s="18" t="n">
        <v>2139.95</v>
      </c>
    </row>
    <row r="119">
      <c r="A119" s="16" t="inlineStr">
        <is>
          <t>ORD0019</t>
        </is>
      </c>
      <c r="B119" s="17" t="n">
        <v>45611</v>
      </c>
      <c r="C119" s="16" t="inlineStr">
        <is>
          <t>Cap</t>
        </is>
      </c>
      <c r="D119" s="16" t="inlineStr">
        <is>
          <t>Fashion</t>
        </is>
      </c>
      <c r="E119" s="16" t="inlineStr">
        <is>
          <t>North</t>
        </is>
      </c>
      <c r="F119" s="16" t="inlineStr">
        <is>
          <t>Online</t>
        </is>
      </c>
      <c r="G119" s="16" t="n">
        <v>8</v>
      </c>
      <c r="H119" s="18" t="n">
        <v>407.7</v>
      </c>
      <c r="I119" s="19" t="n">
        <v>0.1</v>
      </c>
      <c r="J119" s="18" t="n">
        <v>2935.44</v>
      </c>
      <c r="K119" s="18" t="n">
        <v>1618.78</v>
      </c>
      <c r="L119" s="18" t="n">
        <v>1316.66</v>
      </c>
    </row>
    <row r="120">
      <c r="A120" s="16" t="inlineStr">
        <is>
          <t>ORD0146</t>
        </is>
      </c>
      <c r="B120" s="17" t="n">
        <v>45612</v>
      </c>
      <c r="C120" s="16" t="inlineStr">
        <is>
          <t>Wallet</t>
        </is>
      </c>
      <c r="D120" s="16" t="inlineStr">
        <is>
          <t>Fashion</t>
        </is>
      </c>
      <c r="E120" s="16" t="inlineStr">
        <is>
          <t>South</t>
        </is>
      </c>
      <c r="F120" s="16" t="inlineStr">
        <is>
          <t>Online</t>
        </is>
      </c>
      <c r="G120" s="16" t="n">
        <v>7</v>
      </c>
      <c r="H120" s="18" t="n">
        <v>713.5</v>
      </c>
      <c r="I120" s="19" t="n">
        <v>0.1</v>
      </c>
      <c r="J120" s="18" t="n">
        <v>4495.05</v>
      </c>
      <c r="K120" s="18" t="n">
        <v>2361.8</v>
      </c>
      <c r="L120" s="18" t="n">
        <v>2133.25</v>
      </c>
    </row>
    <row r="121">
      <c r="A121" s="16" t="inlineStr">
        <is>
          <t>ORD0028</t>
        </is>
      </c>
      <c r="B121" s="17" t="n">
        <v>45613</v>
      </c>
      <c r="C121" s="16" t="inlineStr">
        <is>
          <t>Headphones</t>
        </is>
      </c>
      <c r="D121" s="16" t="inlineStr">
        <is>
          <t>Electronics</t>
        </is>
      </c>
      <c r="E121" s="16" t="inlineStr">
        <is>
          <t>West</t>
        </is>
      </c>
      <c r="F121" s="16" t="inlineStr">
        <is>
          <t>Online</t>
        </is>
      </c>
      <c r="G121" s="16" t="n">
        <v>8</v>
      </c>
      <c r="H121" s="18" t="n">
        <v>1231.2</v>
      </c>
      <c r="I121" s="19" t="n">
        <v>0.15</v>
      </c>
      <c r="J121" s="18" t="n">
        <v>8372.16</v>
      </c>
      <c r="K121" s="18" t="n">
        <v>4696.22</v>
      </c>
      <c r="L121" s="18" t="n">
        <v>3675.94</v>
      </c>
    </row>
    <row r="122">
      <c r="A122" s="16" t="inlineStr">
        <is>
          <t>ORD0279</t>
        </is>
      </c>
      <c r="B122" s="17" t="n">
        <v>45613</v>
      </c>
      <c r="C122" s="16" t="inlineStr">
        <is>
          <t>Storage Box</t>
        </is>
      </c>
      <c r="D122" s="16" t="inlineStr">
        <is>
          <t>Home &amp; Kitchen</t>
        </is>
      </c>
      <c r="E122" s="16" t="inlineStr">
        <is>
          <t>North</t>
        </is>
      </c>
      <c r="F122" s="16" t="inlineStr">
        <is>
          <t>Store</t>
        </is>
      </c>
      <c r="G122" s="16" t="n">
        <v>6</v>
      </c>
      <c r="H122" s="18" t="n">
        <v>761.61</v>
      </c>
      <c r="I122" s="19" t="n">
        <v>0.1</v>
      </c>
      <c r="J122" s="18" t="n">
        <v>4112.69</v>
      </c>
      <c r="K122" s="18" t="n">
        <v>3173.43</v>
      </c>
      <c r="L122" s="18" t="n">
        <v>939.26</v>
      </c>
    </row>
    <row r="123">
      <c r="A123" s="16" t="inlineStr">
        <is>
          <t>ORD0222</t>
        </is>
      </c>
      <c r="B123" s="17" t="n">
        <v>45620</v>
      </c>
      <c r="C123" s="16" t="inlineStr">
        <is>
          <t>Notebook Pack</t>
        </is>
      </c>
      <c r="D123" s="16" t="inlineStr">
        <is>
          <t>Stationery</t>
        </is>
      </c>
      <c r="E123" s="16" t="inlineStr">
        <is>
          <t>West</t>
        </is>
      </c>
      <c r="F123" s="16" t="inlineStr">
        <is>
          <t>Online</t>
        </is>
      </c>
      <c r="G123" s="16" t="n">
        <v>2</v>
      </c>
      <c r="H123" s="18" t="n">
        <v>269.58</v>
      </c>
      <c r="I123" s="19" t="n">
        <v>0</v>
      </c>
      <c r="J123" s="18" t="n">
        <v>539.16</v>
      </c>
      <c r="K123" s="18" t="n">
        <v>355.38</v>
      </c>
      <c r="L123" s="18" t="n">
        <v>183.78</v>
      </c>
    </row>
    <row r="124">
      <c r="A124" s="16" t="inlineStr">
        <is>
          <t>ORD0252</t>
        </is>
      </c>
      <c r="B124" s="17" t="n">
        <v>45621</v>
      </c>
      <c r="C124" s="16" t="inlineStr">
        <is>
          <t>Markers</t>
        </is>
      </c>
      <c r="D124" s="16" t="inlineStr">
        <is>
          <t>Stationery</t>
        </is>
      </c>
      <c r="E124" s="16" t="inlineStr">
        <is>
          <t>South</t>
        </is>
      </c>
      <c r="F124" s="16" t="inlineStr">
        <is>
          <t>Wholesale</t>
        </is>
      </c>
      <c r="G124" s="16" t="n">
        <v>8</v>
      </c>
      <c r="H124" s="18" t="n">
        <v>228.09</v>
      </c>
      <c r="I124" s="19" t="n">
        <v>0.05</v>
      </c>
      <c r="J124" s="18" t="n">
        <v>1733.48</v>
      </c>
      <c r="K124" s="18" t="n">
        <v>1040.42</v>
      </c>
      <c r="L124" s="18" t="n">
        <v>693.0599999999999</v>
      </c>
    </row>
    <row r="125">
      <c r="A125" s="16" t="inlineStr">
        <is>
          <t>ORD0016</t>
        </is>
      </c>
      <c r="B125" s="17" t="n">
        <v>45623</v>
      </c>
      <c r="C125" s="16" t="inlineStr">
        <is>
          <t>T-Shirt</t>
        </is>
      </c>
      <c r="D125" s="16" t="inlineStr">
        <is>
          <t>Fashion</t>
        </is>
      </c>
      <c r="E125" s="16" t="inlineStr">
        <is>
          <t>North</t>
        </is>
      </c>
      <c r="F125" s="16" t="inlineStr">
        <is>
          <t>Wholesale</t>
        </is>
      </c>
      <c r="G125" s="16" t="n">
        <v>2</v>
      </c>
      <c r="H125" s="18" t="n">
        <v>705.11</v>
      </c>
      <c r="I125" s="19" t="n">
        <v>0.05</v>
      </c>
      <c r="J125" s="18" t="n">
        <v>1339.71</v>
      </c>
      <c r="K125" s="18" t="n">
        <v>780.0599999999999</v>
      </c>
      <c r="L125" s="18" t="n">
        <v>559.65</v>
      </c>
    </row>
    <row r="126">
      <c r="A126" s="16" t="inlineStr">
        <is>
          <t>ORD0063</t>
        </is>
      </c>
      <c r="B126" s="17" t="n">
        <v>45627</v>
      </c>
      <c r="C126" s="16" t="inlineStr">
        <is>
          <t>Storage Box</t>
        </is>
      </c>
      <c r="D126" s="16" t="inlineStr">
        <is>
          <t>Home &amp; Kitchen</t>
        </is>
      </c>
      <c r="E126" s="16" t="inlineStr">
        <is>
          <t>East</t>
        </is>
      </c>
      <c r="F126" s="16" t="inlineStr">
        <is>
          <t>Store</t>
        </is>
      </c>
      <c r="G126" s="16" t="n">
        <v>6</v>
      </c>
      <c r="H126" s="18" t="n">
        <v>774.5</v>
      </c>
      <c r="I126" s="19" t="n">
        <v>0.1</v>
      </c>
      <c r="J126" s="18" t="n">
        <v>4182.3</v>
      </c>
      <c r="K126" s="18" t="n">
        <v>2477.37</v>
      </c>
      <c r="L126" s="18" t="n">
        <v>1704.93</v>
      </c>
    </row>
    <row r="127">
      <c r="A127" s="16" t="inlineStr">
        <is>
          <t>ORD0157</t>
        </is>
      </c>
      <c r="B127" s="17" t="n">
        <v>45629</v>
      </c>
      <c r="C127" s="16" t="inlineStr">
        <is>
          <t>USB Drive</t>
        </is>
      </c>
      <c r="D127" s="16" t="inlineStr">
        <is>
          <t>Electronics</t>
        </is>
      </c>
      <c r="E127" s="16" t="inlineStr">
        <is>
          <t>South</t>
        </is>
      </c>
      <c r="F127" s="16" t="inlineStr">
        <is>
          <t>Online</t>
        </is>
      </c>
      <c r="G127" s="16" t="n">
        <v>5</v>
      </c>
      <c r="H127" s="18" t="n">
        <v>516.01</v>
      </c>
      <c r="I127" s="19" t="n">
        <v>0.15</v>
      </c>
      <c r="J127" s="18" t="n">
        <v>2193.04</v>
      </c>
      <c r="K127" s="18" t="n">
        <v>1638.32</v>
      </c>
      <c r="L127" s="18" t="n">
        <v>554.72</v>
      </c>
    </row>
    <row r="128">
      <c r="A128" s="16" t="inlineStr">
        <is>
          <t>ORD0092</t>
        </is>
      </c>
      <c r="B128" s="17" t="n">
        <v>45629</v>
      </c>
      <c r="C128" s="16" t="inlineStr">
        <is>
          <t>Wallet</t>
        </is>
      </c>
      <c r="D128" s="16" t="inlineStr">
        <is>
          <t>Fashion</t>
        </is>
      </c>
      <c r="E128" s="16" t="inlineStr">
        <is>
          <t>West</t>
        </is>
      </c>
      <c r="F128" s="16" t="inlineStr">
        <is>
          <t>Store</t>
        </is>
      </c>
      <c r="G128" s="16" t="n">
        <v>5</v>
      </c>
      <c r="H128" s="18" t="n">
        <v>811.4299999999999</v>
      </c>
      <c r="I128" s="19" t="n">
        <v>0.1</v>
      </c>
      <c r="J128" s="18" t="n">
        <v>3651.43</v>
      </c>
      <c r="K128" s="18" t="n">
        <v>2671.12</v>
      </c>
      <c r="L128" s="18" t="n">
        <v>980.3099999999999</v>
      </c>
    </row>
    <row r="129">
      <c r="A129" s="16" t="inlineStr">
        <is>
          <t>ORD0162</t>
        </is>
      </c>
      <c r="B129" s="17" t="n">
        <v>45636</v>
      </c>
      <c r="C129" s="16" t="inlineStr">
        <is>
          <t>Storage Box</t>
        </is>
      </c>
      <c r="D129" s="16" t="inlineStr">
        <is>
          <t>Home &amp; Kitchen</t>
        </is>
      </c>
      <c r="E129" s="16" t="inlineStr">
        <is>
          <t>North</t>
        </is>
      </c>
      <c r="F129" s="16" t="inlineStr">
        <is>
          <t>Wholesale</t>
        </is>
      </c>
      <c r="G129" s="16" t="n">
        <v>3</v>
      </c>
      <c r="H129" s="18" t="n">
        <v>725.4299999999999</v>
      </c>
      <c r="I129" s="19" t="n">
        <v>0.15</v>
      </c>
      <c r="J129" s="18" t="n">
        <v>1849.85</v>
      </c>
      <c r="K129" s="18" t="n">
        <v>1351.04</v>
      </c>
      <c r="L129" s="18" t="n">
        <v>498.81</v>
      </c>
    </row>
    <row r="130">
      <c r="A130" s="16" t="inlineStr">
        <is>
          <t>ORD0210</t>
        </is>
      </c>
      <c r="B130" s="17" t="n">
        <v>45636</v>
      </c>
      <c r="C130" s="16" t="inlineStr">
        <is>
          <t>Cap</t>
        </is>
      </c>
      <c r="D130" s="16" t="inlineStr">
        <is>
          <t>Fashion</t>
        </is>
      </c>
      <c r="E130" s="16" t="inlineStr">
        <is>
          <t>West</t>
        </is>
      </c>
      <c r="F130" s="16" t="inlineStr">
        <is>
          <t>Store</t>
        </is>
      </c>
      <c r="G130" s="16" t="n">
        <v>8</v>
      </c>
      <c r="H130" s="18" t="n">
        <v>397.43</v>
      </c>
      <c r="I130" s="19" t="n">
        <v>0.05</v>
      </c>
      <c r="J130" s="18" t="n">
        <v>3020.47</v>
      </c>
      <c r="K130" s="18" t="n">
        <v>1830.77</v>
      </c>
      <c r="L130" s="18" t="n">
        <v>1189.7</v>
      </c>
    </row>
    <row r="131">
      <c r="A131" s="16" t="inlineStr">
        <is>
          <t>ORD0226</t>
        </is>
      </c>
      <c r="B131" s="17" t="n">
        <v>45637</v>
      </c>
      <c r="C131" s="16" t="inlineStr">
        <is>
          <t>Pens Set</t>
        </is>
      </c>
      <c r="D131" s="16" t="inlineStr">
        <is>
          <t>Stationery</t>
        </is>
      </c>
      <c r="E131" s="16" t="inlineStr">
        <is>
          <t>South</t>
        </is>
      </c>
      <c r="F131" s="16" t="inlineStr">
        <is>
          <t>Online</t>
        </is>
      </c>
      <c r="G131" s="16" t="n">
        <v>3</v>
      </c>
      <c r="H131" s="18" t="n">
        <v>191.49</v>
      </c>
      <c r="I131" s="19" t="n">
        <v>0.1</v>
      </c>
      <c r="J131" s="18" t="n">
        <v>517.02</v>
      </c>
      <c r="K131" s="18" t="n">
        <v>380.02</v>
      </c>
      <c r="L131" s="18" t="n">
        <v>137</v>
      </c>
    </row>
    <row r="132">
      <c r="A132" s="16" t="inlineStr">
        <is>
          <t>ORD0116</t>
        </is>
      </c>
      <c r="B132" s="17" t="n">
        <v>45638</v>
      </c>
      <c r="C132" s="16" t="inlineStr">
        <is>
          <t>USB Drive</t>
        </is>
      </c>
      <c r="D132" s="16" t="inlineStr">
        <is>
          <t>Electronics</t>
        </is>
      </c>
      <c r="E132" s="16" t="inlineStr">
        <is>
          <t>East</t>
        </is>
      </c>
      <c r="F132" s="16" t="inlineStr">
        <is>
          <t>Wholesale</t>
        </is>
      </c>
      <c r="G132" s="16" t="n">
        <v>2</v>
      </c>
      <c r="H132" s="18" t="n">
        <v>494.6</v>
      </c>
      <c r="I132" s="19" t="n">
        <v>0</v>
      </c>
      <c r="J132" s="18" t="n">
        <v>989.2</v>
      </c>
      <c r="K132" s="18" t="n">
        <v>735.61</v>
      </c>
      <c r="L132" s="18" t="n">
        <v>253.59</v>
      </c>
    </row>
    <row r="133">
      <c r="A133" s="16" t="inlineStr">
        <is>
          <t>ORD0020</t>
        </is>
      </c>
      <c r="B133" s="17" t="n">
        <v>45638</v>
      </c>
      <c r="C133" s="16" t="inlineStr">
        <is>
          <t>Keyboard</t>
        </is>
      </c>
      <c r="D133" s="16" t="inlineStr">
        <is>
          <t>Electronics</t>
        </is>
      </c>
      <c r="E133" s="16" t="inlineStr">
        <is>
          <t>West</t>
        </is>
      </c>
      <c r="F133" s="16" t="inlineStr">
        <is>
          <t>Store</t>
        </is>
      </c>
      <c r="G133" s="16" t="n">
        <v>4</v>
      </c>
      <c r="H133" s="18" t="n">
        <v>1534.53</v>
      </c>
      <c r="I133" s="19" t="n">
        <v>0</v>
      </c>
      <c r="J133" s="18" t="n">
        <v>6138.12</v>
      </c>
      <c r="K133" s="18" t="n">
        <v>3557.19</v>
      </c>
      <c r="L133" s="18" t="n">
        <v>2580.93</v>
      </c>
    </row>
    <row r="134">
      <c r="A134" s="16" t="inlineStr">
        <is>
          <t>ORD0289</t>
        </is>
      </c>
      <c r="B134" s="17" t="n">
        <v>45643</v>
      </c>
      <c r="C134" s="16" t="inlineStr">
        <is>
          <t>Keyboard</t>
        </is>
      </c>
      <c r="D134" s="16" t="inlineStr">
        <is>
          <t>Electronics</t>
        </is>
      </c>
      <c r="E134" s="16" t="inlineStr">
        <is>
          <t>East</t>
        </is>
      </c>
      <c r="F134" s="16" t="inlineStr">
        <is>
          <t>Store</t>
        </is>
      </c>
      <c r="G134" s="16" t="n">
        <v>4</v>
      </c>
      <c r="H134" s="18" t="n">
        <v>1855.08</v>
      </c>
      <c r="I134" s="19" t="n">
        <v>0.15</v>
      </c>
      <c r="J134" s="18" t="n">
        <v>6307.27</v>
      </c>
      <c r="K134" s="18" t="n">
        <v>3542.39</v>
      </c>
      <c r="L134" s="18" t="n">
        <v>2764.88</v>
      </c>
    </row>
    <row r="135">
      <c r="A135" s="16" t="inlineStr">
        <is>
          <t>ORD0005</t>
        </is>
      </c>
      <c r="B135" s="17" t="n">
        <v>45659</v>
      </c>
      <c r="C135" s="16" t="inlineStr">
        <is>
          <t>Planner</t>
        </is>
      </c>
      <c r="D135" s="16" t="inlineStr">
        <is>
          <t>Stationery</t>
        </is>
      </c>
      <c r="E135" s="16" t="inlineStr">
        <is>
          <t>East</t>
        </is>
      </c>
      <c r="F135" s="16" t="inlineStr">
        <is>
          <t>Online</t>
        </is>
      </c>
      <c r="G135" s="16" t="n">
        <v>1</v>
      </c>
      <c r="H135" s="18" t="n">
        <v>386.89</v>
      </c>
      <c r="I135" s="19" t="n">
        <v>0.15</v>
      </c>
      <c r="J135" s="18" t="n">
        <v>328.86</v>
      </c>
      <c r="K135" s="18" t="n">
        <v>181.68</v>
      </c>
      <c r="L135" s="18" t="n">
        <v>147.18</v>
      </c>
    </row>
    <row r="136">
      <c r="A136" s="16" t="inlineStr">
        <is>
          <t>ORD0107</t>
        </is>
      </c>
      <c r="B136" s="17" t="n">
        <v>45659</v>
      </c>
      <c r="C136" s="16" t="inlineStr">
        <is>
          <t>Markers</t>
        </is>
      </c>
      <c r="D136" s="16" t="inlineStr">
        <is>
          <t>Stationery</t>
        </is>
      </c>
      <c r="E136" s="16" t="inlineStr">
        <is>
          <t>North</t>
        </is>
      </c>
      <c r="F136" s="16" t="inlineStr">
        <is>
          <t>Online</t>
        </is>
      </c>
      <c r="G136" s="16" t="n">
        <v>3</v>
      </c>
      <c r="H136" s="18" t="n">
        <v>205.8</v>
      </c>
      <c r="I136" s="19" t="n">
        <v>0.1</v>
      </c>
      <c r="J136" s="18" t="n">
        <v>555.66</v>
      </c>
      <c r="K136" s="18" t="n">
        <v>370.7</v>
      </c>
      <c r="L136" s="18" t="n">
        <v>184.96</v>
      </c>
    </row>
    <row r="137">
      <c r="A137" s="16" t="inlineStr">
        <is>
          <t>ORD0272</t>
        </is>
      </c>
      <c r="B137" s="17" t="n">
        <v>45660</v>
      </c>
      <c r="C137" s="16" t="inlineStr">
        <is>
          <t>Notebook Pack</t>
        </is>
      </c>
      <c r="D137" s="16" t="inlineStr">
        <is>
          <t>Stationery</t>
        </is>
      </c>
      <c r="E137" s="16" t="inlineStr">
        <is>
          <t>East</t>
        </is>
      </c>
      <c r="F137" s="16" t="inlineStr">
        <is>
          <t>Online</t>
        </is>
      </c>
      <c r="G137" s="16" t="n">
        <v>3</v>
      </c>
      <c r="H137" s="18" t="n">
        <v>220.14</v>
      </c>
      <c r="I137" s="19" t="n">
        <v>0.1</v>
      </c>
      <c r="J137" s="18" t="n">
        <v>594.38</v>
      </c>
      <c r="K137" s="18" t="n">
        <v>378.44</v>
      </c>
      <c r="L137" s="18" t="n">
        <v>215.94</v>
      </c>
    </row>
    <row r="138">
      <c r="A138" s="16" t="inlineStr">
        <is>
          <t>ORD0160</t>
        </is>
      </c>
      <c r="B138" s="17" t="n">
        <v>45662</v>
      </c>
      <c r="C138" s="16" t="inlineStr">
        <is>
          <t>Mouse</t>
        </is>
      </c>
      <c r="D138" s="16" t="inlineStr">
        <is>
          <t>Electronics</t>
        </is>
      </c>
      <c r="E138" s="16" t="inlineStr">
        <is>
          <t>East</t>
        </is>
      </c>
      <c r="F138" s="16" t="inlineStr">
        <is>
          <t>Online</t>
        </is>
      </c>
      <c r="G138" s="16" t="n">
        <v>5</v>
      </c>
      <c r="H138" s="18" t="n">
        <v>639.16</v>
      </c>
      <c r="I138" s="19" t="n">
        <v>0</v>
      </c>
      <c r="J138" s="18" t="n">
        <v>3195.8</v>
      </c>
      <c r="K138" s="18" t="n">
        <v>1945.76</v>
      </c>
      <c r="L138" s="18" t="n">
        <v>1250.04</v>
      </c>
    </row>
    <row r="139">
      <c r="A139" s="16" t="inlineStr">
        <is>
          <t>ORD0117</t>
        </is>
      </c>
      <c r="B139" s="17" t="n">
        <v>45666</v>
      </c>
      <c r="C139" s="16" t="inlineStr">
        <is>
          <t>USB Drive</t>
        </is>
      </c>
      <c r="D139" s="16" t="inlineStr">
        <is>
          <t>Electronics</t>
        </is>
      </c>
      <c r="E139" s="16" t="inlineStr">
        <is>
          <t>South</t>
        </is>
      </c>
      <c r="F139" s="16" t="inlineStr">
        <is>
          <t>Wholesale</t>
        </is>
      </c>
      <c r="G139" s="16" t="n">
        <v>1</v>
      </c>
      <c r="H139" s="18" t="n">
        <v>518.41</v>
      </c>
      <c r="I139" s="19" t="n">
        <v>0</v>
      </c>
      <c r="J139" s="18" t="n">
        <v>518.41</v>
      </c>
      <c r="K139" s="18" t="n">
        <v>330.87</v>
      </c>
      <c r="L139" s="18" t="n">
        <v>187.54</v>
      </c>
    </row>
    <row r="140">
      <c r="A140" s="16" t="inlineStr">
        <is>
          <t>ORD0123</t>
        </is>
      </c>
      <c r="B140" s="17" t="n">
        <v>45668</v>
      </c>
      <c r="C140" s="16" t="inlineStr">
        <is>
          <t>Notebook Pack</t>
        </is>
      </c>
      <c r="D140" s="16" t="inlineStr">
        <is>
          <t>Stationery</t>
        </is>
      </c>
      <c r="E140" s="16" t="inlineStr">
        <is>
          <t>East</t>
        </is>
      </c>
      <c r="F140" s="16" t="inlineStr">
        <is>
          <t>Online</t>
        </is>
      </c>
      <c r="G140" s="16" t="n">
        <v>7</v>
      </c>
      <c r="H140" s="18" t="n">
        <v>236.64</v>
      </c>
      <c r="I140" s="19" t="n">
        <v>0</v>
      </c>
      <c r="J140" s="18" t="n">
        <v>1656.48</v>
      </c>
      <c r="K140" s="18" t="n">
        <v>1270.09</v>
      </c>
      <c r="L140" s="18" t="n">
        <v>386.39</v>
      </c>
    </row>
    <row r="141">
      <c r="A141" s="16" t="inlineStr">
        <is>
          <t>ORD0186</t>
        </is>
      </c>
      <c r="B141" s="17" t="n">
        <v>45672</v>
      </c>
      <c r="C141" s="16" t="inlineStr">
        <is>
          <t>T-Shirt</t>
        </is>
      </c>
      <c r="D141" s="16" t="inlineStr">
        <is>
          <t>Fashion</t>
        </is>
      </c>
      <c r="E141" s="16" t="inlineStr">
        <is>
          <t>South</t>
        </is>
      </c>
      <c r="F141" s="16" t="inlineStr">
        <is>
          <t>Online</t>
        </is>
      </c>
      <c r="G141" s="16" t="n">
        <v>3</v>
      </c>
      <c r="H141" s="18" t="n">
        <v>621.1900000000001</v>
      </c>
      <c r="I141" s="19" t="n">
        <v>0.1</v>
      </c>
      <c r="J141" s="18" t="n">
        <v>1677.21</v>
      </c>
      <c r="K141" s="18" t="n">
        <v>1009.24</v>
      </c>
      <c r="L141" s="18" t="n">
        <v>667.97</v>
      </c>
    </row>
    <row r="142">
      <c r="A142" s="16" t="inlineStr">
        <is>
          <t>ORD0156</t>
        </is>
      </c>
      <c r="B142" s="17" t="n">
        <v>45673</v>
      </c>
      <c r="C142" s="16" t="inlineStr">
        <is>
          <t>Markers</t>
        </is>
      </c>
      <c r="D142" s="16" t="inlineStr">
        <is>
          <t>Stationery</t>
        </is>
      </c>
      <c r="E142" s="16" t="inlineStr">
        <is>
          <t>South</t>
        </is>
      </c>
      <c r="F142" s="16" t="inlineStr">
        <is>
          <t>Online</t>
        </is>
      </c>
      <c r="G142" s="16" t="n">
        <v>7</v>
      </c>
      <c r="H142" s="18" t="n">
        <v>246.63</v>
      </c>
      <c r="I142" s="19" t="n">
        <v>0.15</v>
      </c>
      <c r="J142" s="18" t="n">
        <v>1467.45</v>
      </c>
      <c r="K142" s="18" t="n">
        <v>783.05</v>
      </c>
      <c r="L142" s="18" t="n">
        <v>684.4</v>
      </c>
    </row>
    <row r="143">
      <c r="A143" s="16" t="inlineStr">
        <is>
          <t>ORD0286</t>
        </is>
      </c>
      <c r="B143" s="17" t="n">
        <v>45675</v>
      </c>
      <c r="C143" s="16" t="inlineStr">
        <is>
          <t>Wallet</t>
        </is>
      </c>
      <c r="D143" s="16" t="inlineStr">
        <is>
          <t>Fashion</t>
        </is>
      </c>
      <c r="E143" s="16" t="inlineStr">
        <is>
          <t>South</t>
        </is>
      </c>
      <c r="F143" s="16" t="inlineStr">
        <is>
          <t>Store</t>
        </is>
      </c>
      <c r="G143" s="16" t="n">
        <v>3</v>
      </c>
      <c r="H143" s="18" t="n">
        <v>728.05</v>
      </c>
      <c r="I143" s="19" t="n">
        <v>0</v>
      </c>
      <c r="J143" s="18" t="n">
        <v>2184.15</v>
      </c>
      <c r="K143" s="18" t="n">
        <v>1409.91</v>
      </c>
      <c r="L143" s="18" t="n">
        <v>774.24</v>
      </c>
    </row>
    <row r="144">
      <c r="A144" s="16" t="inlineStr">
        <is>
          <t>ORD0280</t>
        </is>
      </c>
      <c r="B144" s="17" t="n">
        <v>45677</v>
      </c>
      <c r="C144" s="16" t="inlineStr">
        <is>
          <t>Markers</t>
        </is>
      </c>
      <c r="D144" s="16" t="inlineStr">
        <is>
          <t>Stationery</t>
        </is>
      </c>
      <c r="E144" s="16" t="inlineStr">
        <is>
          <t>North</t>
        </is>
      </c>
      <c r="F144" s="16" t="inlineStr">
        <is>
          <t>Wholesale</t>
        </is>
      </c>
      <c r="G144" s="16" t="n">
        <v>6</v>
      </c>
      <c r="H144" s="18" t="n">
        <v>195.77</v>
      </c>
      <c r="I144" s="19" t="n">
        <v>0.15</v>
      </c>
      <c r="J144" s="18" t="n">
        <v>998.4299999999999</v>
      </c>
      <c r="K144" s="18" t="n">
        <v>571.05</v>
      </c>
      <c r="L144" s="18" t="n">
        <v>427.38</v>
      </c>
    </row>
    <row r="145">
      <c r="A145" s="16" t="inlineStr">
        <is>
          <t>ORD0048</t>
        </is>
      </c>
      <c r="B145" s="17" t="n">
        <v>45680</v>
      </c>
      <c r="C145" s="16" t="inlineStr">
        <is>
          <t>Desk Lamp</t>
        </is>
      </c>
      <c r="D145" s="16" t="inlineStr">
        <is>
          <t>Home &amp; Kitchen</t>
        </is>
      </c>
      <c r="E145" s="16" t="inlineStr">
        <is>
          <t>North</t>
        </is>
      </c>
      <c r="F145" s="16" t="inlineStr">
        <is>
          <t>Store</t>
        </is>
      </c>
      <c r="G145" s="16" t="n">
        <v>7</v>
      </c>
      <c r="H145" s="18" t="n">
        <v>1458.49</v>
      </c>
      <c r="I145" s="19" t="n">
        <v>0</v>
      </c>
      <c r="J145" s="18" t="n">
        <v>10209.43</v>
      </c>
      <c r="K145" s="18" t="n">
        <v>6115.53</v>
      </c>
      <c r="L145" s="18" t="n">
        <v>4093.9</v>
      </c>
    </row>
    <row r="146">
      <c r="A146" s="16" t="inlineStr">
        <is>
          <t>ORD0059</t>
        </is>
      </c>
      <c r="B146" s="17" t="n">
        <v>45681</v>
      </c>
      <c r="C146" s="16" t="inlineStr">
        <is>
          <t>T-Shirt</t>
        </is>
      </c>
      <c r="D146" s="16" t="inlineStr">
        <is>
          <t>Fashion</t>
        </is>
      </c>
      <c r="E146" s="16" t="inlineStr">
        <is>
          <t>East</t>
        </is>
      </c>
      <c r="F146" s="16" t="inlineStr">
        <is>
          <t>Wholesale</t>
        </is>
      </c>
      <c r="G146" s="16" t="n">
        <v>6</v>
      </c>
      <c r="H146" s="18" t="n">
        <v>572.71</v>
      </c>
      <c r="I146" s="19" t="n">
        <v>0.1</v>
      </c>
      <c r="J146" s="18" t="n">
        <v>3092.63</v>
      </c>
      <c r="K146" s="18" t="n">
        <v>2294.41</v>
      </c>
      <c r="L146" s="18" t="n">
        <v>798.22</v>
      </c>
    </row>
    <row r="147">
      <c r="A147" s="16" t="inlineStr">
        <is>
          <t>ORD0083</t>
        </is>
      </c>
      <c r="B147" s="17" t="n">
        <v>45681</v>
      </c>
      <c r="C147" s="16" t="inlineStr">
        <is>
          <t>Wallet</t>
        </is>
      </c>
      <c r="D147" s="16" t="inlineStr">
        <is>
          <t>Fashion</t>
        </is>
      </c>
      <c r="E147" s="16" t="inlineStr">
        <is>
          <t>West</t>
        </is>
      </c>
      <c r="F147" s="16" t="inlineStr">
        <is>
          <t>Wholesale</t>
        </is>
      </c>
      <c r="G147" s="16" t="n">
        <v>5</v>
      </c>
      <c r="H147" s="18" t="n">
        <v>863.29</v>
      </c>
      <c r="I147" s="19" t="n">
        <v>0.1</v>
      </c>
      <c r="J147" s="18" t="n">
        <v>3884.8</v>
      </c>
      <c r="K147" s="18" t="n">
        <v>2328.54</v>
      </c>
      <c r="L147" s="18" t="n">
        <v>1556.26</v>
      </c>
    </row>
    <row r="148">
      <c r="A148" s="16" t="inlineStr">
        <is>
          <t>ORD0118</t>
        </is>
      </c>
      <c r="B148" s="17" t="n">
        <v>45682</v>
      </c>
      <c r="C148" s="16" t="inlineStr">
        <is>
          <t>Notebook Pack</t>
        </is>
      </c>
      <c r="D148" s="16" t="inlineStr">
        <is>
          <t>Stationery</t>
        </is>
      </c>
      <c r="E148" s="16" t="inlineStr">
        <is>
          <t>South</t>
        </is>
      </c>
      <c r="F148" s="16" t="inlineStr">
        <is>
          <t>Wholesale</t>
        </is>
      </c>
      <c r="G148" s="16" t="n">
        <v>4</v>
      </c>
      <c r="H148" s="18" t="n">
        <v>253.75</v>
      </c>
      <c r="I148" s="19" t="n">
        <v>0.15</v>
      </c>
      <c r="J148" s="18" t="n">
        <v>862.75</v>
      </c>
      <c r="K148" s="18" t="n">
        <v>646.98</v>
      </c>
      <c r="L148" s="18" t="n">
        <v>215.77</v>
      </c>
    </row>
    <row r="149">
      <c r="A149" s="16" t="inlineStr">
        <is>
          <t>ORD0102</t>
        </is>
      </c>
      <c r="B149" s="17" t="n">
        <v>45682</v>
      </c>
      <c r="C149" s="16" t="inlineStr">
        <is>
          <t>Backpack</t>
        </is>
      </c>
      <c r="D149" s="16" t="inlineStr">
        <is>
          <t>Fashion</t>
        </is>
      </c>
      <c r="E149" s="16" t="inlineStr">
        <is>
          <t>South</t>
        </is>
      </c>
      <c r="F149" s="16" t="inlineStr">
        <is>
          <t>Online</t>
        </is>
      </c>
      <c r="G149" s="16" t="n">
        <v>8</v>
      </c>
      <c r="H149" s="18" t="n">
        <v>1781.53</v>
      </c>
      <c r="I149" s="19" t="n">
        <v>0</v>
      </c>
      <c r="J149" s="18" t="n">
        <v>14252.24</v>
      </c>
      <c r="K149" s="18" t="n">
        <v>9272.450000000001</v>
      </c>
      <c r="L149" s="18" t="n">
        <v>4979.79</v>
      </c>
    </row>
    <row r="150">
      <c r="A150" s="16" t="inlineStr">
        <is>
          <t>ORD0238</t>
        </is>
      </c>
      <c r="B150" s="17" t="n">
        <v>45683</v>
      </c>
      <c r="C150" s="16" t="inlineStr">
        <is>
          <t>Wallet</t>
        </is>
      </c>
      <c r="D150" s="16" t="inlineStr">
        <is>
          <t>Fashion</t>
        </is>
      </c>
      <c r="E150" s="16" t="inlineStr">
        <is>
          <t>South</t>
        </is>
      </c>
      <c r="F150" s="16" t="inlineStr">
        <is>
          <t>Online</t>
        </is>
      </c>
      <c r="G150" s="16" t="n">
        <v>7</v>
      </c>
      <c r="H150" s="18" t="n">
        <v>658.5700000000001</v>
      </c>
      <c r="I150" s="19" t="n">
        <v>0.15</v>
      </c>
      <c r="J150" s="18" t="n">
        <v>3918.49</v>
      </c>
      <c r="K150" s="18" t="n">
        <v>2173.11</v>
      </c>
      <c r="L150" s="18" t="n">
        <v>1745.38</v>
      </c>
    </row>
    <row r="151">
      <c r="A151" s="16" t="inlineStr">
        <is>
          <t>ORD0169</t>
        </is>
      </c>
      <c r="B151" s="17" t="n">
        <v>45687</v>
      </c>
      <c r="C151" s="16" t="inlineStr">
        <is>
          <t>Mouse</t>
        </is>
      </c>
      <c r="D151" s="16" t="inlineStr">
        <is>
          <t>Electronics</t>
        </is>
      </c>
      <c r="E151" s="16" t="inlineStr">
        <is>
          <t>South</t>
        </is>
      </c>
      <c r="F151" s="16" t="inlineStr">
        <is>
          <t>Online</t>
        </is>
      </c>
      <c r="G151" s="16" t="n">
        <v>4</v>
      </c>
      <c r="H151" s="18" t="n">
        <v>601.91</v>
      </c>
      <c r="I151" s="19" t="n">
        <v>0</v>
      </c>
      <c r="J151" s="18" t="n">
        <v>2407.64</v>
      </c>
      <c r="K151" s="18" t="n">
        <v>1777.29</v>
      </c>
      <c r="L151" s="18" t="n">
        <v>630.35</v>
      </c>
    </row>
    <row r="152">
      <c r="A152" s="16" t="inlineStr">
        <is>
          <t>ORD0180</t>
        </is>
      </c>
      <c r="B152" s="17" t="n">
        <v>45701</v>
      </c>
      <c r="C152" s="16" t="inlineStr">
        <is>
          <t>Wallet</t>
        </is>
      </c>
      <c r="D152" s="16" t="inlineStr">
        <is>
          <t>Fashion</t>
        </is>
      </c>
      <c r="E152" s="16" t="inlineStr">
        <is>
          <t>South</t>
        </is>
      </c>
      <c r="F152" s="16" t="inlineStr">
        <is>
          <t>Wholesale</t>
        </is>
      </c>
      <c r="G152" s="16" t="n">
        <v>6</v>
      </c>
      <c r="H152" s="18" t="n">
        <v>893.1</v>
      </c>
      <c r="I152" s="19" t="n">
        <v>0.1</v>
      </c>
      <c r="J152" s="18" t="n">
        <v>4822.74</v>
      </c>
      <c r="K152" s="18" t="n">
        <v>3375.62</v>
      </c>
      <c r="L152" s="18" t="n">
        <v>1447.12</v>
      </c>
    </row>
    <row r="153">
      <c r="A153" s="16" t="inlineStr">
        <is>
          <t>ORD0227</t>
        </is>
      </c>
      <c r="B153" s="17" t="n">
        <v>45702</v>
      </c>
      <c r="C153" s="16" t="inlineStr">
        <is>
          <t>Keyboard</t>
        </is>
      </c>
      <c r="D153" s="16" t="inlineStr">
        <is>
          <t>Electronics</t>
        </is>
      </c>
      <c r="E153" s="16" t="inlineStr">
        <is>
          <t>East</t>
        </is>
      </c>
      <c r="F153" s="16" t="inlineStr">
        <is>
          <t>Online</t>
        </is>
      </c>
      <c r="G153" s="16" t="n">
        <v>3</v>
      </c>
      <c r="H153" s="18" t="n">
        <v>1830.8</v>
      </c>
      <c r="I153" s="19" t="n">
        <v>0</v>
      </c>
      <c r="J153" s="18" t="n">
        <v>5492.4</v>
      </c>
      <c r="K153" s="18" t="n">
        <v>2865.8</v>
      </c>
      <c r="L153" s="18" t="n">
        <v>2626.6</v>
      </c>
    </row>
    <row r="154">
      <c r="A154" s="16" t="inlineStr">
        <is>
          <t>ORD0263</t>
        </is>
      </c>
      <c r="B154" s="17" t="n">
        <v>45707</v>
      </c>
      <c r="C154" s="16" t="inlineStr">
        <is>
          <t>Wallet</t>
        </is>
      </c>
      <c r="D154" s="16" t="inlineStr">
        <is>
          <t>Fashion</t>
        </is>
      </c>
      <c r="E154" s="16" t="inlineStr">
        <is>
          <t>West</t>
        </is>
      </c>
      <c r="F154" s="16" t="inlineStr">
        <is>
          <t>Store</t>
        </is>
      </c>
      <c r="G154" s="16" t="n">
        <v>8</v>
      </c>
      <c r="H154" s="18" t="n">
        <v>652.23</v>
      </c>
      <c r="I154" s="19" t="n">
        <v>0</v>
      </c>
      <c r="J154" s="18" t="n">
        <v>5217.84</v>
      </c>
      <c r="K154" s="18" t="n">
        <v>3666.78</v>
      </c>
      <c r="L154" s="18" t="n">
        <v>1551.06</v>
      </c>
    </row>
    <row r="155">
      <c r="A155" s="16" t="inlineStr">
        <is>
          <t>ORD0262</t>
        </is>
      </c>
      <c r="B155" s="17" t="n">
        <v>45707</v>
      </c>
      <c r="C155" s="16" t="inlineStr">
        <is>
          <t>Backpack</t>
        </is>
      </c>
      <c r="D155" s="16" t="inlineStr">
        <is>
          <t>Fashion</t>
        </is>
      </c>
      <c r="E155" s="16" t="inlineStr">
        <is>
          <t>West</t>
        </is>
      </c>
      <c r="F155" s="16" t="inlineStr">
        <is>
          <t>Online</t>
        </is>
      </c>
      <c r="G155" s="16" t="n">
        <v>4</v>
      </c>
      <c r="H155" s="18" t="n">
        <v>1432.49</v>
      </c>
      <c r="I155" s="19" t="n">
        <v>0</v>
      </c>
      <c r="J155" s="18" t="n">
        <v>5729.96</v>
      </c>
      <c r="K155" s="18" t="n">
        <v>3953.51</v>
      </c>
      <c r="L155" s="18" t="n">
        <v>1776.45</v>
      </c>
    </row>
    <row r="156">
      <c r="A156" s="16" t="inlineStr">
        <is>
          <t>ORD0058</t>
        </is>
      </c>
      <c r="B156" s="17" t="n">
        <v>45709</v>
      </c>
      <c r="C156" s="16" t="inlineStr">
        <is>
          <t>Markers</t>
        </is>
      </c>
      <c r="D156" s="16" t="inlineStr">
        <is>
          <t>Stationery</t>
        </is>
      </c>
      <c r="E156" s="16" t="inlineStr">
        <is>
          <t>West</t>
        </is>
      </c>
      <c r="F156" s="16" t="inlineStr">
        <is>
          <t>Wholesale</t>
        </is>
      </c>
      <c r="G156" s="16" t="n">
        <v>7</v>
      </c>
      <c r="H156" s="18" t="n">
        <v>191.79</v>
      </c>
      <c r="I156" s="19" t="n">
        <v>0.1</v>
      </c>
      <c r="J156" s="18" t="n">
        <v>1208.28</v>
      </c>
      <c r="K156" s="18" t="n">
        <v>750.66</v>
      </c>
      <c r="L156" s="18" t="n">
        <v>457.62</v>
      </c>
    </row>
    <row r="157">
      <c r="A157" s="16" t="inlineStr">
        <is>
          <t>ORD0274</t>
        </is>
      </c>
      <c r="B157" s="17" t="n">
        <v>45715</v>
      </c>
      <c r="C157" s="16" t="inlineStr">
        <is>
          <t>T-Shirt</t>
        </is>
      </c>
      <c r="D157" s="16" t="inlineStr">
        <is>
          <t>Fashion</t>
        </is>
      </c>
      <c r="E157" s="16" t="inlineStr">
        <is>
          <t>North</t>
        </is>
      </c>
      <c r="F157" s="16" t="inlineStr">
        <is>
          <t>Online</t>
        </is>
      </c>
      <c r="G157" s="16" t="n">
        <v>4</v>
      </c>
      <c r="H157" s="18" t="n">
        <v>630.11</v>
      </c>
      <c r="I157" s="19" t="n">
        <v>0</v>
      </c>
      <c r="J157" s="18" t="n">
        <v>2520.44</v>
      </c>
      <c r="K157" s="18" t="n">
        <v>1759.73</v>
      </c>
      <c r="L157" s="18" t="n">
        <v>760.71</v>
      </c>
    </row>
    <row r="158">
      <c r="A158" s="16" t="inlineStr">
        <is>
          <t>ORD0254</t>
        </is>
      </c>
      <c r="B158" s="17" t="n">
        <v>45715</v>
      </c>
      <c r="C158" s="16" t="inlineStr">
        <is>
          <t>Keyboard</t>
        </is>
      </c>
      <c r="D158" s="16" t="inlineStr">
        <is>
          <t>Electronics</t>
        </is>
      </c>
      <c r="E158" s="16" t="inlineStr">
        <is>
          <t>East</t>
        </is>
      </c>
      <c r="F158" s="16" t="inlineStr">
        <is>
          <t>Store</t>
        </is>
      </c>
      <c r="G158" s="16" t="n">
        <v>3</v>
      </c>
      <c r="H158" s="18" t="n">
        <v>1540.22</v>
      </c>
      <c r="I158" s="19" t="n">
        <v>0.15</v>
      </c>
      <c r="J158" s="18" t="n">
        <v>3927.56</v>
      </c>
      <c r="K158" s="18" t="n">
        <v>2996.87</v>
      </c>
      <c r="L158" s="18" t="n">
        <v>930.6900000000001</v>
      </c>
    </row>
    <row r="159">
      <c r="A159" s="16" t="inlineStr">
        <is>
          <t>ORD0052</t>
        </is>
      </c>
      <c r="B159" s="17" t="n">
        <v>45716</v>
      </c>
      <c r="C159" s="16" t="inlineStr">
        <is>
          <t>Storage Box</t>
        </is>
      </c>
      <c r="D159" s="16" t="inlineStr">
        <is>
          <t>Home &amp; Kitchen</t>
        </is>
      </c>
      <c r="E159" s="16" t="inlineStr">
        <is>
          <t>West</t>
        </is>
      </c>
      <c r="F159" s="16" t="inlineStr">
        <is>
          <t>Online</t>
        </is>
      </c>
      <c r="G159" s="16" t="n">
        <v>8</v>
      </c>
      <c r="H159" s="18" t="n">
        <v>791.9</v>
      </c>
      <c r="I159" s="19" t="n">
        <v>0</v>
      </c>
      <c r="J159" s="18" t="n">
        <v>6335.2</v>
      </c>
      <c r="K159" s="18" t="n">
        <v>4374.93</v>
      </c>
      <c r="L159" s="18" t="n">
        <v>1960.27</v>
      </c>
    </row>
    <row r="160">
      <c r="A160" s="16" t="inlineStr">
        <is>
          <t>ORD0133</t>
        </is>
      </c>
      <c r="B160" s="17" t="n">
        <v>45717</v>
      </c>
      <c r="C160" s="16" t="inlineStr">
        <is>
          <t>Mouse</t>
        </is>
      </c>
      <c r="D160" s="16" t="inlineStr">
        <is>
          <t>Electronics</t>
        </is>
      </c>
      <c r="E160" s="16" t="inlineStr">
        <is>
          <t>North</t>
        </is>
      </c>
      <c r="F160" s="16" t="inlineStr">
        <is>
          <t>Wholesale</t>
        </is>
      </c>
      <c r="G160" s="16" t="n">
        <v>7</v>
      </c>
      <c r="H160" s="18" t="n">
        <v>671.5700000000001</v>
      </c>
      <c r="I160" s="19" t="n">
        <v>0.05</v>
      </c>
      <c r="J160" s="18" t="n">
        <v>4465.94</v>
      </c>
      <c r="K160" s="18" t="n">
        <v>2756.91</v>
      </c>
      <c r="L160" s="18" t="n">
        <v>1709.03</v>
      </c>
    </row>
    <row r="161">
      <c r="A161" s="16" t="inlineStr">
        <is>
          <t>ORD0198</t>
        </is>
      </c>
      <c r="B161" s="17" t="n">
        <v>45718</v>
      </c>
      <c r="C161" s="16" t="inlineStr">
        <is>
          <t>USB Drive</t>
        </is>
      </c>
      <c r="D161" s="16" t="inlineStr">
        <is>
          <t>Electronics</t>
        </is>
      </c>
      <c r="E161" s="16" t="inlineStr">
        <is>
          <t>East</t>
        </is>
      </c>
      <c r="F161" s="16" t="inlineStr">
        <is>
          <t>Store</t>
        </is>
      </c>
      <c r="G161" s="16" t="n">
        <v>5</v>
      </c>
      <c r="H161" s="18" t="n">
        <v>591.0700000000001</v>
      </c>
      <c r="I161" s="19" t="n">
        <v>0.05</v>
      </c>
      <c r="J161" s="18" t="n">
        <v>2807.58</v>
      </c>
      <c r="K161" s="18" t="n">
        <v>1812.48</v>
      </c>
      <c r="L161" s="18" t="n">
        <v>995.1</v>
      </c>
    </row>
    <row r="162">
      <c r="A162" s="16" t="inlineStr">
        <is>
          <t>ORD0246</t>
        </is>
      </c>
      <c r="B162" s="17" t="n">
        <v>45718</v>
      </c>
      <c r="C162" s="16" t="inlineStr">
        <is>
          <t>Backpack</t>
        </is>
      </c>
      <c r="D162" s="16" t="inlineStr">
        <is>
          <t>Fashion</t>
        </is>
      </c>
      <c r="E162" s="16" t="inlineStr">
        <is>
          <t>North</t>
        </is>
      </c>
      <c r="F162" s="16" t="inlineStr">
        <is>
          <t>Store</t>
        </is>
      </c>
      <c r="G162" s="16" t="n">
        <v>5</v>
      </c>
      <c r="H162" s="18" t="n">
        <v>1472.64</v>
      </c>
      <c r="I162" s="19" t="n">
        <v>0.15</v>
      </c>
      <c r="J162" s="18" t="n">
        <v>6258.72</v>
      </c>
      <c r="K162" s="18" t="n">
        <v>4025.08</v>
      </c>
      <c r="L162" s="18" t="n">
        <v>2233.64</v>
      </c>
    </row>
    <row r="163">
      <c r="A163" s="16" t="inlineStr">
        <is>
          <t>ORD0223</t>
        </is>
      </c>
      <c r="B163" s="17" t="n">
        <v>45719</v>
      </c>
      <c r="C163" s="16" t="inlineStr">
        <is>
          <t>Water Bottle</t>
        </is>
      </c>
      <c r="D163" s="16" t="inlineStr">
        <is>
          <t>Home &amp; Kitchen</t>
        </is>
      </c>
      <c r="E163" s="16" t="inlineStr">
        <is>
          <t>South</t>
        </is>
      </c>
      <c r="F163" s="16" t="inlineStr">
        <is>
          <t>Online</t>
        </is>
      </c>
      <c r="G163" s="16" t="n">
        <v>7</v>
      </c>
      <c r="H163" s="18" t="n">
        <v>506.6</v>
      </c>
      <c r="I163" s="19" t="n">
        <v>0</v>
      </c>
      <c r="J163" s="18" t="n">
        <v>3546.2</v>
      </c>
      <c r="K163" s="18" t="n">
        <v>2707.59</v>
      </c>
      <c r="L163" s="18" t="n">
        <v>838.61</v>
      </c>
    </row>
    <row r="164">
      <c r="A164" s="16" t="inlineStr">
        <is>
          <t>ORD0140</t>
        </is>
      </c>
      <c r="B164" s="17" t="n">
        <v>45721</v>
      </c>
      <c r="C164" s="16" t="inlineStr">
        <is>
          <t>Cap</t>
        </is>
      </c>
      <c r="D164" s="16" t="inlineStr">
        <is>
          <t>Fashion</t>
        </is>
      </c>
      <c r="E164" s="16" t="inlineStr">
        <is>
          <t>West</t>
        </is>
      </c>
      <c r="F164" s="16" t="inlineStr">
        <is>
          <t>Online</t>
        </is>
      </c>
      <c r="G164" s="16" t="n">
        <v>3</v>
      </c>
      <c r="H164" s="18" t="n">
        <v>342.83</v>
      </c>
      <c r="I164" s="19" t="n">
        <v>0.05</v>
      </c>
      <c r="J164" s="18" t="n">
        <v>977.0700000000001</v>
      </c>
      <c r="K164" s="18" t="n">
        <v>705.42</v>
      </c>
      <c r="L164" s="18" t="n">
        <v>271.65</v>
      </c>
    </row>
    <row r="165">
      <c r="A165" s="16" t="inlineStr">
        <is>
          <t>ORD0013</t>
        </is>
      </c>
      <c r="B165" s="17" t="n">
        <v>45724</v>
      </c>
      <c r="C165" s="16" t="inlineStr">
        <is>
          <t>USB Drive</t>
        </is>
      </c>
      <c r="D165" s="16" t="inlineStr">
        <is>
          <t>Electronics</t>
        </is>
      </c>
      <c r="E165" s="16" t="inlineStr">
        <is>
          <t>West</t>
        </is>
      </c>
      <c r="F165" s="16" t="inlineStr">
        <is>
          <t>Wholesale</t>
        </is>
      </c>
      <c r="G165" s="16" t="n">
        <v>7</v>
      </c>
      <c r="H165" s="18" t="n">
        <v>582.21</v>
      </c>
      <c r="I165" s="19" t="n">
        <v>0.1</v>
      </c>
      <c r="J165" s="18" t="n">
        <v>3667.92</v>
      </c>
      <c r="K165" s="18" t="n">
        <v>2411.91</v>
      </c>
      <c r="L165" s="18" t="n">
        <v>1256.01</v>
      </c>
    </row>
    <row r="166">
      <c r="A166" s="16" t="inlineStr">
        <is>
          <t>ORD0004</t>
        </is>
      </c>
      <c r="B166" s="17" t="n">
        <v>45724</v>
      </c>
      <c r="C166" s="16" t="inlineStr">
        <is>
          <t>Planner</t>
        </is>
      </c>
      <c r="D166" s="16" t="inlineStr">
        <is>
          <t>Stationery</t>
        </is>
      </c>
      <c r="E166" s="16" t="inlineStr">
        <is>
          <t>East</t>
        </is>
      </c>
      <c r="F166" s="16" t="inlineStr">
        <is>
          <t>Online</t>
        </is>
      </c>
      <c r="G166" s="16" t="n">
        <v>3</v>
      </c>
      <c r="H166" s="18" t="n">
        <v>323.88</v>
      </c>
      <c r="I166" s="19" t="n">
        <v>0.05</v>
      </c>
      <c r="J166" s="18" t="n">
        <v>923.0599999999999</v>
      </c>
      <c r="K166" s="18" t="n">
        <v>504.52</v>
      </c>
      <c r="L166" s="18" t="n">
        <v>418.54</v>
      </c>
    </row>
    <row r="167">
      <c r="A167" s="16" t="inlineStr">
        <is>
          <t>ORD0002</t>
        </is>
      </c>
      <c r="B167" s="17" t="n">
        <v>45724</v>
      </c>
      <c r="C167" s="16" t="inlineStr">
        <is>
          <t>Headphones</t>
        </is>
      </c>
      <c r="D167" s="16" t="inlineStr">
        <is>
          <t>Electronics</t>
        </is>
      </c>
      <c r="E167" s="16" t="inlineStr">
        <is>
          <t>North</t>
        </is>
      </c>
      <c r="F167" s="16" t="inlineStr">
        <is>
          <t>Wholesale</t>
        </is>
      </c>
      <c r="G167" s="16" t="n">
        <v>2</v>
      </c>
      <c r="H167" s="18" t="n">
        <v>1111.83</v>
      </c>
      <c r="I167" s="19" t="n">
        <v>0.15</v>
      </c>
      <c r="J167" s="18" t="n">
        <v>1890.11</v>
      </c>
      <c r="K167" s="18" t="n">
        <v>1278.71</v>
      </c>
      <c r="L167" s="18" t="n">
        <v>611.4</v>
      </c>
    </row>
    <row r="168">
      <c r="A168" s="16" t="inlineStr">
        <is>
          <t>ORD0027</t>
        </is>
      </c>
      <c r="B168" s="17" t="n">
        <v>45725</v>
      </c>
      <c r="C168" s="16" t="inlineStr">
        <is>
          <t>Backpack</t>
        </is>
      </c>
      <c r="D168" s="16" t="inlineStr">
        <is>
          <t>Fashion</t>
        </is>
      </c>
      <c r="E168" s="16" t="inlineStr">
        <is>
          <t>West</t>
        </is>
      </c>
      <c r="F168" s="16" t="inlineStr">
        <is>
          <t>Wholesale</t>
        </is>
      </c>
      <c r="G168" s="16" t="n">
        <v>4</v>
      </c>
      <c r="H168" s="18" t="n">
        <v>1430.77</v>
      </c>
      <c r="I168" s="19" t="n">
        <v>0</v>
      </c>
      <c r="J168" s="18" t="n">
        <v>5723.08</v>
      </c>
      <c r="K168" s="18" t="n">
        <v>3837.82</v>
      </c>
      <c r="L168" s="18" t="n">
        <v>1885.26</v>
      </c>
    </row>
    <row r="169">
      <c r="A169" s="16" t="inlineStr">
        <is>
          <t>ORD0053</t>
        </is>
      </c>
      <c r="B169" s="17" t="n">
        <v>45727</v>
      </c>
      <c r="C169" s="16" t="inlineStr">
        <is>
          <t>Lunch Box</t>
        </is>
      </c>
      <c r="D169" s="16" t="inlineStr">
        <is>
          <t>Home &amp; Kitchen</t>
        </is>
      </c>
      <c r="E169" s="16" t="inlineStr">
        <is>
          <t>West</t>
        </is>
      </c>
      <c r="F169" s="16" t="inlineStr">
        <is>
          <t>Store</t>
        </is>
      </c>
      <c r="G169" s="16" t="n">
        <v>8</v>
      </c>
      <c r="H169" s="18" t="n">
        <v>563.92</v>
      </c>
      <c r="I169" s="19" t="n">
        <v>0</v>
      </c>
      <c r="J169" s="18" t="n">
        <v>4511.36</v>
      </c>
      <c r="K169" s="18" t="n">
        <v>3422.06</v>
      </c>
      <c r="L169" s="18" t="n">
        <v>1089.3</v>
      </c>
    </row>
    <row r="170">
      <c r="A170" s="16" t="inlineStr">
        <is>
          <t>ORD0046</t>
        </is>
      </c>
      <c r="B170" s="17" t="n">
        <v>45733</v>
      </c>
      <c r="C170" s="16" t="inlineStr">
        <is>
          <t>Mouse</t>
        </is>
      </c>
      <c r="D170" s="16" t="inlineStr">
        <is>
          <t>Electronics</t>
        </is>
      </c>
      <c r="E170" s="16" t="inlineStr">
        <is>
          <t>South</t>
        </is>
      </c>
      <c r="F170" s="16" t="inlineStr">
        <is>
          <t>Wholesale</t>
        </is>
      </c>
      <c r="G170" s="16" t="n">
        <v>6</v>
      </c>
      <c r="H170" s="18" t="n">
        <v>757.53</v>
      </c>
      <c r="I170" s="19" t="n">
        <v>0</v>
      </c>
      <c r="J170" s="18" t="n">
        <v>4545.18</v>
      </c>
      <c r="K170" s="18" t="n">
        <v>3214.06</v>
      </c>
      <c r="L170" s="18" t="n">
        <v>1331.12</v>
      </c>
    </row>
    <row r="171">
      <c r="A171" s="16" t="inlineStr">
        <is>
          <t>ORD0194</t>
        </is>
      </c>
      <c r="B171" s="17" t="n">
        <v>45735</v>
      </c>
      <c r="C171" s="16" t="inlineStr">
        <is>
          <t>Headphones</t>
        </is>
      </c>
      <c r="D171" s="16" t="inlineStr">
        <is>
          <t>Electronics</t>
        </is>
      </c>
      <c r="E171" s="16" t="inlineStr">
        <is>
          <t>North</t>
        </is>
      </c>
      <c r="F171" s="16" t="inlineStr">
        <is>
          <t>Store</t>
        </is>
      </c>
      <c r="G171" s="16" t="n">
        <v>3</v>
      </c>
      <c r="H171" s="18" t="n">
        <v>1147.73</v>
      </c>
      <c r="I171" s="19" t="n">
        <v>0</v>
      </c>
      <c r="J171" s="18" t="n">
        <v>3443.19</v>
      </c>
      <c r="K171" s="18" t="n">
        <v>2079.31</v>
      </c>
      <c r="L171" s="18" t="n">
        <v>1363.88</v>
      </c>
    </row>
    <row r="172">
      <c r="A172" s="16" t="inlineStr">
        <is>
          <t>ORD0264</t>
        </is>
      </c>
      <c r="B172" s="17" t="n">
        <v>45736</v>
      </c>
      <c r="C172" s="16" t="inlineStr">
        <is>
          <t>Notebook Pack</t>
        </is>
      </c>
      <c r="D172" s="16" t="inlineStr">
        <is>
          <t>Stationery</t>
        </is>
      </c>
      <c r="E172" s="16" t="inlineStr">
        <is>
          <t>West</t>
        </is>
      </c>
      <c r="F172" s="16" t="inlineStr">
        <is>
          <t>Online</t>
        </is>
      </c>
      <c r="G172" s="16" t="n">
        <v>1</v>
      </c>
      <c r="H172" s="18" t="n">
        <v>232.6</v>
      </c>
      <c r="I172" s="19" t="n">
        <v>0.15</v>
      </c>
      <c r="J172" s="18" t="n">
        <v>197.71</v>
      </c>
      <c r="K172" s="18" t="n">
        <v>127.25</v>
      </c>
      <c r="L172" s="18" t="n">
        <v>70.45999999999999</v>
      </c>
    </row>
    <row r="173">
      <c r="A173" s="16" t="inlineStr">
        <is>
          <t>ORD0163</t>
        </is>
      </c>
      <c r="B173" s="17" t="n">
        <v>45740</v>
      </c>
      <c r="C173" s="16" t="inlineStr">
        <is>
          <t>USB Drive</t>
        </is>
      </c>
      <c r="D173" s="16" t="inlineStr">
        <is>
          <t>Electronics</t>
        </is>
      </c>
      <c r="E173" s="16" t="inlineStr">
        <is>
          <t>South</t>
        </is>
      </c>
      <c r="F173" s="16" t="inlineStr">
        <is>
          <t>Wholesale</t>
        </is>
      </c>
      <c r="G173" s="16" t="n">
        <v>6</v>
      </c>
      <c r="H173" s="18" t="n">
        <v>597.7</v>
      </c>
      <c r="I173" s="19" t="n">
        <v>0</v>
      </c>
      <c r="J173" s="18" t="n">
        <v>3586.2</v>
      </c>
      <c r="K173" s="18" t="n">
        <v>2768.88</v>
      </c>
      <c r="L173" s="18" t="n">
        <v>817.3200000000001</v>
      </c>
    </row>
    <row r="174">
      <c r="A174" s="16" t="inlineStr">
        <is>
          <t>ORD0103</t>
        </is>
      </c>
      <c r="B174" s="17" t="n">
        <v>45742</v>
      </c>
      <c r="C174" s="16" t="inlineStr">
        <is>
          <t>USB Drive</t>
        </is>
      </c>
      <c r="D174" s="16" t="inlineStr">
        <is>
          <t>Electronics</t>
        </is>
      </c>
      <c r="E174" s="16" t="inlineStr">
        <is>
          <t>North</t>
        </is>
      </c>
      <c r="F174" s="16" t="inlineStr">
        <is>
          <t>Online</t>
        </is>
      </c>
      <c r="G174" s="16" t="n">
        <v>1</v>
      </c>
      <c r="H174" s="18" t="n">
        <v>606.5700000000001</v>
      </c>
      <c r="I174" s="19" t="n">
        <v>0.1</v>
      </c>
      <c r="J174" s="18" t="n">
        <v>545.91</v>
      </c>
      <c r="K174" s="18" t="n">
        <v>407.49</v>
      </c>
      <c r="L174" s="18" t="n">
        <v>138.42</v>
      </c>
    </row>
    <row r="175">
      <c r="A175" s="16" t="inlineStr">
        <is>
          <t>ORD0278</t>
        </is>
      </c>
      <c r="B175" s="17" t="n">
        <v>45742</v>
      </c>
      <c r="C175" s="16" t="inlineStr">
        <is>
          <t>Markers</t>
        </is>
      </c>
      <c r="D175" s="16" t="inlineStr">
        <is>
          <t>Stationery</t>
        </is>
      </c>
      <c r="E175" s="16" t="inlineStr">
        <is>
          <t>North</t>
        </is>
      </c>
      <c r="F175" s="16" t="inlineStr">
        <is>
          <t>Store</t>
        </is>
      </c>
      <c r="G175" s="16" t="n">
        <v>3</v>
      </c>
      <c r="H175" s="18" t="n">
        <v>210.13</v>
      </c>
      <c r="I175" s="19" t="n">
        <v>0.15</v>
      </c>
      <c r="J175" s="18" t="n">
        <v>535.83</v>
      </c>
      <c r="K175" s="18" t="n">
        <v>410.6</v>
      </c>
      <c r="L175" s="18" t="n">
        <v>125.23</v>
      </c>
    </row>
    <row r="176">
      <c r="A176" s="16" t="inlineStr">
        <is>
          <t>ORD0114</t>
        </is>
      </c>
      <c r="B176" s="17" t="n">
        <v>45743</v>
      </c>
      <c r="C176" s="16" t="inlineStr">
        <is>
          <t>Mouse</t>
        </is>
      </c>
      <c r="D176" s="16" t="inlineStr">
        <is>
          <t>Electronics</t>
        </is>
      </c>
      <c r="E176" s="16" t="inlineStr">
        <is>
          <t>East</t>
        </is>
      </c>
      <c r="F176" s="16" t="inlineStr">
        <is>
          <t>Online</t>
        </is>
      </c>
      <c r="G176" s="16" t="n">
        <v>3</v>
      </c>
      <c r="H176" s="18" t="n">
        <v>617.08</v>
      </c>
      <c r="I176" s="19" t="n">
        <v>0.05</v>
      </c>
      <c r="J176" s="18" t="n">
        <v>1758.68</v>
      </c>
      <c r="K176" s="18" t="n">
        <v>1063.91</v>
      </c>
      <c r="L176" s="18" t="n">
        <v>694.77</v>
      </c>
    </row>
    <row r="177">
      <c r="A177" s="16" t="inlineStr">
        <is>
          <t>ORD0095</t>
        </is>
      </c>
      <c r="B177" s="17" t="n">
        <v>45744</v>
      </c>
      <c r="C177" s="16" t="inlineStr">
        <is>
          <t>Keyboard</t>
        </is>
      </c>
      <c r="D177" s="16" t="inlineStr">
        <is>
          <t>Electronics</t>
        </is>
      </c>
      <c r="E177" s="16" t="inlineStr">
        <is>
          <t>East</t>
        </is>
      </c>
      <c r="F177" s="16" t="inlineStr">
        <is>
          <t>Online</t>
        </is>
      </c>
      <c r="G177" s="16" t="n">
        <v>5</v>
      </c>
      <c r="H177" s="18" t="n">
        <v>1876.01</v>
      </c>
      <c r="I177" s="19" t="n">
        <v>0.05</v>
      </c>
      <c r="J177" s="18" t="n">
        <v>8911.049999999999</v>
      </c>
      <c r="K177" s="18" t="n">
        <v>5648.81</v>
      </c>
      <c r="L177" s="18" t="n">
        <v>3262.24</v>
      </c>
    </row>
    <row r="178">
      <c r="A178" s="16" t="inlineStr">
        <is>
          <t>ORD0110</t>
        </is>
      </c>
      <c r="B178" s="17" t="n">
        <v>45744</v>
      </c>
      <c r="C178" s="16" t="inlineStr">
        <is>
          <t>Planner</t>
        </is>
      </c>
      <c r="D178" s="16" t="inlineStr">
        <is>
          <t>Stationery</t>
        </is>
      </c>
      <c r="E178" s="16" t="inlineStr">
        <is>
          <t>North</t>
        </is>
      </c>
      <c r="F178" s="16" t="inlineStr">
        <is>
          <t>Store</t>
        </is>
      </c>
      <c r="G178" s="16" t="n">
        <v>7</v>
      </c>
      <c r="H178" s="18" t="n">
        <v>382.06</v>
      </c>
      <c r="I178" s="19" t="n">
        <v>0.1</v>
      </c>
      <c r="J178" s="18" t="n">
        <v>2406.98</v>
      </c>
      <c r="K178" s="18" t="n">
        <v>1780.63</v>
      </c>
      <c r="L178" s="18" t="n">
        <v>626.35</v>
      </c>
    </row>
    <row r="179">
      <c r="A179" s="16" t="inlineStr">
        <is>
          <t>ORD0189</t>
        </is>
      </c>
      <c r="B179" s="17" t="n">
        <v>45747</v>
      </c>
      <c r="C179" s="16" t="inlineStr">
        <is>
          <t>Mouse</t>
        </is>
      </c>
      <c r="D179" s="16" t="inlineStr">
        <is>
          <t>Electronics</t>
        </is>
      </c>
      <c r="E179" s="16" t="inlineStr">
        <is>
          <t>South</t>
        </is>
      </c>
      <c r="F179" s="16" t="inlineStr">
        <is>
          <t>Online</t>
        </is>
      </c>
      <c r="G179" s="16" t="n">
        <v>6</v>
      </c>
      <c r="H179" s="18" t="n">
        <v>768.84</v>
      </c>
      <c r="I179" s="19" t="n">
        <v>0.15</v>
      </c>
      <c r="J179" s="18" t="n">
        <v>3921.08</v>
      </c>
      <c r="K179" s="18" t="n">
        <v>2591.69</v>
      </c>
      <c r="L179" s="18" t="n">
        <v>1329.39</v>
      </c>
    </row>
    <row r="180">
      <c r="A180" s="16" t="inlineStr">
        <is>
          <t>ORD0188</t>
        </is>
      </c>
      <c r="B180" s="17" t="n">
        <v>45748</v>
      </c>
      <c r="C180" s="16" t="inlineStr">
        <is>
          <t>Desk Lamp</t>
        </is>
      </c>
      <c r="D180" s="16" t="inlineStr">
        <is>
          <t>Home &amp; Kitchen</t>
        </is>
      </c>
      <c r="E180" s="16" t="inlineStr">
        <is>
          <t>East</t>
        </is>
      </c>
      <c r="F180" s="16" t="inlineStr">
        <is>
          <t>Online</t>
        </is>
      </c>
      <c r="G180" s="16" t="n">
        <v>8</v>
      </c>
      <c r="H180" s="18" t="n">
        <v>1288.09</v>
      </c>
      <c r="I180" s="19" t="n">
        <v>0</v>
      </c>
      <c r="J180" s="18" t="n">
        <v>10304.72</v>
      </c>
      <c r="K180" s="18" t="n">
        <v>7643.37</v>
      </c>
      <c r="L180" s="18" t="n">
        <v>2661.35</v>
      </c>
    </row>
    <row r="181">
      <c r="A181" s="16" t="inlineStr">
        <is>
          <t>ORD0228</t>
        </is>
      </c>
      <c r="B181" s="17" t="n">
        <v>45749</v>
      </c>
      <c r="C181" s="16" t="inlineStr">
        <is>
          <t>Planner</t>
        </is>
      </c>
      <c r="D181" s="16" t="inlineStr">
        <is>
          <t>Stationery</t>
        </is>
      </c>
      <c r="E181" s="16" t="inlineStr">
        <is>
          <t>South</t>
        </is>
      </c>
      <c r="F181" s="16" t="inlineStr">
        <is>
          <t>Wholesale</t>
        </is>
      </c>
      <c r="G181" s="16" t="n">
        <v>5</v>
      </c>
      <c r="H181" s="18" t="n">
        <v>368.85</v>
      </c>
      <c r="I181" s="19" t="n">
        <v>0.15</v>
      </c>
      <c r="J181" s="18" t="n">
        <v>1567.61</v>
      </c>
      <c r="K181" s="18" t="n">
        <v>819.8200000000001</v>
      </c>
      <c r="L181" s="18" t="n">
        <v>747.79</v>
      </c>
    </row>
    <row r="182">
      <c r="A182" s="16" t="inlineStr">
        <is>
          <t>ORD0232</t>
        </is>
      </c>
      <c r="B182" s="17" t="n">
        <v>45749</v>
      </c>
      <c r="C182" s="16" t="inlineStr">
        <is>
          <t>Notebook Pack</t>
        </is>
      </c>
      <c r="D182" s="16" t="inlineStr">
        <is>
          <t>Stationery</t>
        </is>
      </c>
      <c r="E182" s="16" t="inlineStr">
        <is>
          <t>North</t>
        </is>
      </c>
      <c r="F182" s="16" t="inlineStr">
        <is>
          <t>Wholesale</t>
        </is>
      </c>
      <c r="G182" s="16" t="n">
        <v>2</v>
      </c>
      <c r="H182" s="18" t="n">
        <v>217.9</v>
      </c>
      <c r="I182" s="19" t="n">
        <v>0.15</v>
      </c>
      <c r="J182" s="18" t="n">
        <v>370.43</v>
      </c>
      <c r="K182" s="18" t="n">
        <v>279.58</v>
      </c>
      <c r="L182" s="18" t="n">
        <v>90.84999999999999</v>
      </c>
    </row>
    <row r="183">
      <c r="A183" s="16" t="inlineStr">
        <is>
          <t>ORD0183</t>
        </is>
      </c>
      <c r="B183" s="17" t="n">
        <v>45749</v>
      </c>
      <c r="C183" s="16" t="inlineStr">
        <is>
          <t>Mouse</t>
        </is>
      </c>
      <c r="D183" s="16" t="inlineStr">
        <is>
          <t>Electronics</t>
        </is>
      </c>
      <c r="E183" s="16" t="inlineStr">
        <is>
          <t>East</t>
        </is>
      </c>
      <c r="F183" s="16" t="inlineStr">
        <is>
          <t>Store</t>
        </is>
      </c>
      <c r="G183" s="16" t="n">
        <v>7</v>
      </c>
      <c r="H183" s="18" t="n">
        <v>662.27</v>
      </c>
      <c r="I183" s="19" t="n">
        <v>0</v>
      </c>
      <c r="J183" s="18" t="n">
        <v>4635.89</v>
      </c>
      <c r="K183" s="18" t="n">
        <v>2501.11</v>
      </c>
      <c r="L183" s="18" t="n">
        <v>2134.78</v>
      </c>
    </row>
    <row r="184">
      <c r="A184" s="16" t="inlineStr">
        <is>
          <t>ORD0100</t>
        </is>
      </c>
      <c r="B184" s="17" t="n">
        <v>45749</v>
      </c>
      <c r="C184" s="16" t="inlineStr">
        <is>
          <t>Cap</t>
        </is>
      </c>
      <c r="D184" s="16" t="inlineStr">
        <is>
          <t>Fashion</t>
        </is>
      </c>
      <c r="E184" s="16" t="inlineStr">
        <is>
          <t>South</t>
        </is>
      </c>
      <c r="F184" s="16" t="inlineStr">
        <is>
          <t>Online</t>
        </is>
      </c>
      <c r="G184" s="16" t="n">
        <v>6</v>
      </c>
      <c r="H184" s="18" t="n">
        <v>365.11</v>
      </c>
      <c r="I184" s="19" t="n">
        <v>0.15</v>
      </c>
      <c r="J184" s="18" t="n">
        <v>1862.06</v>
      </c>
      <c r="K184" s="18" t="n">
        <v>1150.89</v>
      </c>
      <c r="L184" s="18" t="n">
        <v>711.17</v>
      </c>
    </row>
    <row r="185">
      <c r="A185" s="16" t="inlineStr">
        <is>
          <t>ORD0164</t>
        </is>
      </c>
      <c r="B185" s="17" t="n">
        <v>45751</v>
      </c>
      <c r="C185" s="16" t="inlineStr">
        <is>
          <t>Lunch Box</t>
        </is>
      </c>
      <c r="D185" s="16" t="inlineStr">
        <is>
          <t>Home &amp; Kitchen</t>
        </is>
      </c>
      <c r="E185" s="16" t="inlineStr">
        <is>
          <t>North</t>
        </is>
      </c>
      <c r="F185" s="16" t="inlineStr">
        <is>
          <t>Store</t>
        </is>
      </c>
      <c r="G185" s="16" t="n">
        <v>5</v>
      </c>
      <c r="H185" s="18" t="n">
        <v>772.17</v>
      </c>
      <c r="I185" s="19" t="n">
        <v>0.1</v>
      </c>
      <c r="J185" s="18" t="n">
        <v>3474.76</v>
      </c>
      <c r="K185" s="18" t="n">
        <v>2623.56</v>
      </c>
      <c r="L185" s="18" t="n">
        <v>851.2</v>
      </c>
    </row>
    <row r="186">
      <c r="A186" s="16" t="inlineStr">
        <is>
          <t>ORD0283</t>
        </is>
      </c>
      <c r="B186" s="17" t="n">
        <v>45751</v>
      </c>
      <c r="C186" s="16" t="inlineStr">
        <is>
          <t>Wallet</t>
        </is>
      </c>
      <c r="D186" s="16" t="inlineStr">
        <is>
          <t>Fashion</t>
        </is>
      </c>
      <c r="E186" s="16" t="inlineStr">
        <is>
          <t>West</t>
        </is>
      </c>
      <c r="F186" s="16" t="inlineStr">
        <is>
          <t>Online</t>
        </is>
      </c>
      <c r="G186" s="16" t="n">
        <v>7</v>
      </c>
      <c r="H186" s="18" t="n">
        <v>780.21</v>
      </c>
      <c r="I186" s="19" t="n">
        <v>0.05</v>
      </c>
      <c r="J186" s="18" t="n">
        <v>5188.4</v>
      </c>
      <c r="K186" s="18" t="n">
        <v>3644.46</v>
      </c>
      <c r="L186" s="18" t="n">
        <v>1543.94</v>
      </c>
    </row>
    <row r="187">
      <c r="A187" s="16" t="inlineStr">
        <is>
          <t>ORD0024</t>
        </is>
      </c>
      <c r="B187" s="17" t="n">
        <v>45751</v>
      </c>
      <c r="C187" s="16" t="inlineStr">
        <is>
          <t>Storage Box</t>
        </is>
      </c>
      <c r="D187" s="16" t="inlineStr">
        <is>
          <t>Home &amp; Kitchen</t>
        </is>
      </c>
      <c r="E187" s="16" t="inlineStr">
        <is>
          <t>West</t>
        </is>
      </c>
      <c r="F187" s="16" t="inlineStr">
        <is>
          <t>Store</t>
        </is>
      </c>
      <c r="G187" s="16" t="n">
        <v>3</v>
      </c>
      <c r="H187" s="18" t="n">
        <v>757.99</v>
      </c>
      <c r="I187" s="19" t="n">
        <v>0</v>
      </c>
      <c r="J187" s="18" t="n">
        <v>2273.97</v>
      </c>
      <c r="K187" s="18" t="n">
        <v>1699.49</v>
      </c>
      <c r="L187" s="18" t="n">
        <v>574.48</v>
      </c>
    </row>
    <row r="188">
      <c r="A188" s="16" t="inlineStr">
        <is>
          <t>ORD0086</t>
        </is>
      </c>
      <c r="B188" s="17" t="n">
        <v>45756</v>
      </c>
      <c r="C188" s="16" t="inlineStr">
        <is>
          <t>Keyboard</t>
        </is>
      </c>
      <c r="D188" s="16" t="inlineStr">
        <is>
          <t>Electronics</t>
        </is>
      </c>
      <c r="E188" s="16" t="inlineStr">
        <is>
          <t>North</t>
        </is>
      </c>
      <c r="F188" s="16" t="inlineStr">
        <is>
          <t>Store</t>
        </is>
      </c>
      <c r="G188" s="16" t="n">
        <v>5</v>
      </c>
      <c r="H188" s="18" t="n">
        <v>2026.33</v>
      </c>
      <c r="I188" s="19" t="n">
        <v>0.15</v>
      </c>
      <c r="J188" s="18" t="n">
        <v>8611.9</v>
      </c>
      <c r="K188" s="18" t="n">
        <v>5958.64</v>
      </c>
      <c r="L188" s="18" t="n">
        <v>2653.26</v>
      </c>
    </row>
    <row r="189">
      <c r="A189" s="16" t="inlineStr">
        <is>
          <t>ORD0199</t>
        </is>
      </c>
      <c r="B189" s="17" t="n">
        <v>45756</v>
      </c>
      <c r="C189" s="16" t="inlineStr">
        <is>
          <t>Headphones</t>
        </is>
      </c>
      <c r="D189" s="16" t="inlineStr">
        <is>
          <t>Electronics</t>
        </is>
      </c>
      <c r="E189" s="16" t="inlineStr">
        <is>
          <t>South</t>
        </is>
      </c>
      <c r="F189" s="16" t="inlineStr">
        <is>
          <t>Wholesale</t>
        </is>
      </c>
      <c r="G189" s="16" t="n">
        <v>3</v>
      </c>
      <c r="H189" s="18" t="n">
        <v>1204.63</v>
      </c>
      <c r="I189" s="19" t="n">
        <v>0.1</v>
      </c>
      <c r="J189" s="18" t="n">
        <v>3252.5</v>
      </c>
      <c r="K189" s="18" t="n">
        <v>2084.06</v>
      </c>
      <c r="L189" s="18" t="n">
        <v>1168.44</v>
      </c>
    </row>
    <row r="190">
      <c r="A190" s="16" t="inlineStr">
        <is>
          <t>ORD0215</t>
        </is>
      </c>
      <c r="B190" s="17" t="n">
        <v>45762</v>
      </c>
      <c r="C190" s="16" t="inlineStr">
        <is>
          <t>Planner</t>
        </is>
      </c>
      <c r="D190" s="16" t="inlineStr">
        <is>
          <t>Stationery</t>
        </is>
      </c>
      <c r="E190" s="16" t="inlineStr">
        <is>
          <t>South</t>
        </is>
      </c>
      <c r="F190" s="16" t="inlineStr">
        <is>
          <t>Wholesale</t>
        </is>
      </c>
      <c r="G190" s="16" t="n">
        <v>5</v>
      </c>
      <c r="H190" s="18" t="n">
        <v>372.23</v>
      </c>
      <c r="I190" s="19" t="n">
        <v>0</v>
      </c>
      <c r="J190" s="18" t="n">
        <v>1861.15</v>
      </c>
      <c r="K190" s="18" t="n">
        <v>1431.05</v>
      </c>
      <c r="L190" s="18" t="n">
        <v>430.1</v>
      </c>
    </row>
    <row r="191">
      <c r="A191" s="16" t="inlineStr">
        <is>
          <t>ORD0042</t>
        </is>
      </c>
      <c r="B191" s="17" t="n">
        <v>45763</v>
      </c>
      <c r="C191" s="16" t="inlineStr">
        <is>
          <t>Planner</t>
        </is>
      </c>
      <c r="D191" s="16" t="inlineStr">
        <is>
          <t>Stationery</t>
        </is>
      </c>
      <c r="E191" s="16" t="inlineStr">
        <is>
          <t>South</t>
        </is>
      </c>
      <c r="F191" s="16" t="inlineStr">
        <is>
          <t>Online</t>
        </is>
      </c>
      <c r="G191" s="16" t="n">
        <v>4</v>
      </c>
      <c r="H191" s="18" t="n">
        <v>324.81</v>
      </c>
      <c r="I191" s="19" t="n">
        <v>0</v>
      </c>
      <c r="J191" s="18" t="n">
        <v>1299.24</v>
      </c>
      <c r="K191" s="18" t="n">
        <v>810.21</v>
      </c>
      <c r="L191" s="18" t="n">
        <v>489.03</v>
      </c>
    </row>
    <row r="192">
      <c r="A192" s="16" t="inlineStr">
        <is>
          <t>ORD0097</t>
        </is>
      </c>
      <c r="B192" s="17" t="n">
        <v>45764</v>
      </c>
      <c r="C192" s="16" t="inlineStr">
        <is>
          <t>Keyboard</t>
        </is>
      </c>
      <c r="D192" s="16" t="inlineStr">
        <is>
          <t>Electronics</t>
        </is>
      </c>
      <c r="E192" s="16" t="inlineStr">
        <is>
          <t>South</t>
        </is>
      </c>
      <c r="F192" s="16" t="inlineStr">
        <is>
          <t>Store</t>
        </is>
      </c>
      <c r="G192" s="16" t="n">
        <v>8</v>
      </c>
      <c r="H192" s="18" t="n">
        <v>2117.57</v>
      </c>
      <c r="I192" s="19" t="n">
        <v>0.05</v>
      </c>
      <c r="J192" s="18" t="n">
        <v>16093.53</v>
      </c>
      <c r="K192" s="18" t="n">
        <v>10497.92</v>
      </c>
      <c r="L192" s="18" t="n">
        <v>5595.61</v>
      </c>
    </row>
    <row r="193">
      <c r="A193" s="16" t="inlineStr">
        <is>
          <t>ORD0177</t>
        </is>
      </c>
      <c r="B193" s="17" t="n">
        <v>45767</v>
      </c>
      <c r="C193" s="16" t="inlineStr">
        <is>
          <t>Backpack</t>
        </is>
      </c>
      <c r="D193" s="16" t="inlineStr">
        <is>
          <t>Fashion</t>
        </is>
      </c>
      <c r="E193" s="16" t="inlineStr">
        <is>
          <t>North</t>
        </is>
      </c>
      <c r="F193" s="16" t="inlineStr">
        <is>
          <t>Online</t>
        </is>
      </c>
      <c r="G193" s="16" t="n">
        <v>3</v>
      </c>
      <c r="H193" s="18" t="n">
        <v>1308.13</v>
      </c>
      <c r="I193" s="19" t="n">
        <v>0.1</v>
      </c>
      <c r="J193" s="18" t="n">
        <v>3531.95</v>
      </c>
      <c r="K193" s="18" t="n">
        <v>1870.58</v>
      </c>
      <c r="L193" s="18" t="n">
        <v>1661.37</v>
      </c>
    </row>
    <row r="194">
      <c r="A194" s="16" t="inlineStr">
        <is>
          <t>ORD0225</t>
        </is>
      </c>
      <c r="B194" s="17" t="n">
        <v>45771</v>
      </c>
      <c r="C194" s="16" t="inlineStr">
        <is>
          <t>Pens Set</t>
        </is>
      </c>
      <c r="D194" s="16" t="inlineStr">
        <is>
          <t>Stationery</t>
        </is>
      </c>
      <c r="E194" s="16" t="inlineStr">
        <is>
          <t>North</t>
        </is>
      </c>
      <c r="F194" s="16" t="inlineStr">
        <is>
          <t>Online</t>
        </is>
      </c>
      <c r="G194" s="16" t="n">
        <v>2</v>
      </c>
      <c r="H194" s="18" t="n">
        <v>173.83</v>
      </c>
      <c r="I194" s="19" t="n">
        <v>0.1</v>
      </c>
      <c r="J194" s="18" t="n">
        <v>312.89</v>
      </c>
      <c r="K194" s="18" t="n">
        <v>215.44</v>
      </c>
      <c r="L194" s="18" t="n">
        <v>97.45</v>
      </c>
    </row>
    <row r="195">
      <c r="A195" s="16" t="inlineStr">
        <is>
          <t>ORD0104</t>
        </is>
      </c>
      <c r="B195" s="17" t="n">
        <v>45772</v>
      </c>
      <c r="C195" s="16" t="inlineStr">
        <is>
          <t>Planner</t>
        </is>
      </c>
      <c r="D195" s="16" t="inlineStr">
        <is>
          <t>Stationery</t>
        </is>
      </c>
      <c r="E195" s="16" t="inlineStr">
        <is>
          <t>East</t>
        </is>
      </c>
      <c r="F195" s="16" t="inlineStr">
        <is>
          <t>Store</t>
        </is>
      </c>
      <c r="G195" s="16" t="n">
        <v>7</v>
      </c>
      <c r="H195" s="18" t="n">
        <v>377.1</v>
      </c>
      <c r="I195" s="19" t="n">
        <v>0.05</v>
      </c>
      <c r="J195" s="18" t="n">
        <v>2507.72</v>
      </c>
      <c r="K195" s="18" t="n">
        <v>1859.75</v>
      </c>
      <c r="L195" s="18" t="n">
        <v>647.97</v>
      </c>
    </row>
    <row r="196">
      <c r="A196" s="16" t="inlineStr">
        <is>
          <t>ORD0175</t>
        </is>
      </c>
      <c r="B196" s="17" t="n">
        <v>45773</v>
      </c>
      <c r="C196" s="16" t="inlineStr">
        <is>
          <t>USB Drive</t>
        </is>
      </c>
      <c r="D196" s="16" t="inlineStr">
        <is>
          <t>Electronics</t>
        </is>
      </c>
      <c r="E196" s="16" t="inlineStr">
        <is>
          <t>West</t>
        </is>
      </c>
      <c r="F196" s="16" t="inlineStr">
        <is>
          <t>Store</t>
        </is>
      </c>
      <c r="G196" s="16" t="n">
        <v>6</v>
      </c>
      <c r="H196" s="18" t="n">
        <v>516.33</v>
      </c>
      <c r="I196" s="19" t="n">
        <v>0</v>
      </c>
      <c r="J196" s="18" t="n">
        <v>3097.98</v>
      </c>
      <c r="K196" s="18" t="n">
        <v>1898.58</v>
      </c>
      <c r="L196" s="18" t="n">
        <v>1199.4</v>
      </c>
    </row>
    <row r="197">
      <c r="A197" s="16" t="inlineStr">
        <is>
          <t>ORD0237</t>
        </is>
      </c>
      <c r="B197" s="17" t="n">
        <v>45775</v>
      </c>
      <c r="C197" s="16" t="inlineStr">
        <is>
          <t>Mouse</t>
        </is>
      </c>
      <c r="D197" s="16" t="inlineStr">
        <is>
          <t>Electronics</t>
        </is>
      </c>
      <c r="E197" s="16" t="inlineStr">
        <is>
          <t>East</t>
        </is>
      </c>
      <c r="F197" s="16" t="inlineStr">
        <is>
          <t>Store</t>
        </is>
      </c>
      <c r="G197" s="16" t="n">
        <v>7</v>
      </c>
      <c r="H197" s="18" t="n">
        <v>639.1</v>
      </c>
      <c r="I197" s="19" t="n">
        <v>0</v>
      </c>
      <c r="J197" s="18" t="n">
        <v>4473.7</v>
      </c>
      <c r="K197" s="18" t="n">
        <v>3217.11</v>
      </c>
      <c r="L197" s="18" t="n">
        <v>1256.59</v>
      </c>
    </row>
    <row r="198">
      <c r="A198" s="16" t="inlineStr">
        <is>
          <t>ORD0022</t>
        </is>
      </c>
      <c r="B198" s="17" t="n">
        <v>45776</v>
      </c>
      <c r="C198" s="16" t="inlineStr">
        <is>
          <t>Backpack</t>
        </is>
      </c>
      <c r="D198" s="16" t="inlineStr">
        <is>
          <t>Fashion</t>
        </is>
      </c>
      <c r="E198" s="16" t="inlineStr">
        <is>
          <t>East</t>
        </is>
      </c>
      <c r="F198" s="16" t="inlineStr">
        <is>
          <t>Store</t>
        </is>
      </c>
      <c r="G198" s="16" t="n">
        <v>2</v>
      </c>
      <c r="H198" s="18" t="n">
        <v>1325.89</v>
      </c>
      <c r="I198" s="19" t="n">
        <v>0.1</v>
      </c>
      <c r="J198" s="18" t="n">
        <v>2386.6</v>
      </c>
      <c r="K198" s="18" t="n">
        <v>1460.88</v>
      </c>
      <c r="L198" s="18" t="n">
        <v>925.72</v>
      </c>
    </row>
    <row r="199">
      <c r="A199" s="16" t="inlineStr">
        <is>
          <t>ORD0134</t>
        </is>
      </c>
      <c r="B199" s="17" t="n">
        <v>45777</v>
      </c>
      <c r="C199" s="16" t="inlineStr">
        <is>
          <t>Headphones</t>
        </is>
      </c>
      <c r="D199" s="16" t="inlineStr">
        <is>
          <t>Electronics</t>
        </is>
      </c>
      <c r="E199" s="16" t="inlineStr">
        <is>
          <t>South</t>
        </is>
      </c>
      <c r="F199" s="16" t="inlineStr">
        <is>
          <t>Online</t>
        </is>
      </c>
      <c r="G199" s="16" t="n">
        <v>2</v>
      </c>
      <c r="H199" s="18" t="n">
        <v>1059.16</v>
      </c>
      <c r="I199" s="19" t="n">
        <v>0</v>
      </c>
      <c r="J199" s="18" t="n">
        <v>2118.32</v>
      </c>
      <c r="K199" s="18" t="n">
        <v>1511.62</v>
      </c>
      <c r="L199" s="18" t="n">
        <v>606.7</v>
      </c>
    </row>
    <row r="200">
      <c r="A200" s="16" t="inlineStr">
        <is>
          <t>ORD0018</t>
        </is>
      </c>
      <c r="B200" s="17" t="n">
        <v>45778</v>
      </c>
      <c r="C200" s="16" t="inlineStr">
        <is>
          <t>Desk Lamp</t>
        </is>
      </c>
      <c r="D200" s="16" t="inlineStr">
        <is>
          <t>Home &amp; Kitchen</t>
        </is>
      </c>
      <c r="E200" s="16" t="inlineStr">
        <is>
          <t>North</t>
        </is>
      </c>
      <c r="F200" s="16" t="inlineStr">
        <is>
          <t>Wholesale</t>
        </is>
      </c>
      <c r="G200" s="16" t="n">
        <v>7</v>
      </c>
      <c r="H200" s="18" t="n">
        <v>1662.54</v>
      </c>
      <c r="I200" s="19" t="n">
        <v>0.15</v>
      </c>
      <c r="J200" s="18" t="n">
        <v>9892.110000000001</v>
      </c>
      <c r="K200" s="18" t="n">
        <v>7086.4</v>
      </c>
      <c r="L200" s="18" t="n">
        <v>2805.71</v>
      </c>
    </row>
    <row r="201">
      <c r="A201" s="16" t="inlineStr">
        <is>
          <t>ORD0055</t>
        </is>
      </c>
      <c r="B201" s="17" t="n">
        <v>45778</v>
      </c>
      <c r="C201" s="16" t="inlineStr">
        <is>
          <t>Cap</t>
        </is>
      </c>
      <c r="D201" s="16" t="inlineStr">
        <is>
          <t>Fashion</t>
        </is>
      </c>
      <c r="E201" s="16" t="inlineStr">
        <is>
          <t>East</t>
        </is>
      </c>
      <c r="F201" s="16" t="inlineStr">
        <is>
          <t>Wholesale</t>
        </is>
      </c>
      <c r="G201" s="16" t="n">
        <v>4</v>
      </c>
      <c r="H201" s="18" t="n">
        <v>400.38</v>
      </c>
      <c r="I201" s="19" t="n">
        <v>0.05</v>
      </c>
      <c r="J201" s="18" t="n">
        <v>1521.44</v>
      </c>
      <c r="K201" s="18" t="n">
        <v>1094.09</v>
      </c>
      <c r="L201" s="18" t="n">
        <v>427.35</v>
      </c>
    </row>
    <row r="202">
      <c r="A202" s="16" t="inlineStr">
        <is>
          <t>ORD0075</t>
        </is>
      </c>
      <c r="B202" s="17" t="n">
        <v>45779</v>
      </c>
      <c r="C202" s="16" t="inlineStr">
        <is>
          <t>Wallet</t>
        </is>
      </c>
      <c r="D202" s="16" t="inlineStr">
        <is>
          <t>Fashion</t>
        </is>
      </c>
      <c r="E202" s="16" t="inlineStr">
        <is>
          <t>North</t>
        </is>
      </c>
      <c r="F202" s="16" t="inlineStr">
        <is>
          <t>Store</t>
        </is>
      </c>
      <c r="G202" s="16" t="n">
        <v>1</v>
      </c>
      <c r="H202" s="18" t="n">
        <v>661.9299999999999</v>
      </c>
      <c r="I202" s="19" t="n">
        <v>0</v>
      </c>
      <c r="J202" s="18" t="n">
        <v>661.9299999999999</v>
      </c>
      <c r="K202" s="18" t="n">
        <v>413.8</v>
      </c>
      <c r="L202" s="18" t="n">
        <v>248.13</v>
      </c>
    </row>
    <row r="203">
      <c r="A203" s="16" t="inlineStr">
        <is>
          <t>ORD0288</t>
        </is>
      </c>
      <c r="B203" s="17" t="n">
        <v>45779</v>
      </c>
      <c r="C203" s="16" t="inlineStr">
        <is>
          <t>USB Drive</t>
        </is>
      </c>
      <c r="D203" s="16" t="inlineStr">
        <is>
          <t>Electronics</t>
        </is>
      </c>
      <c r="E203" s="16" t="inlineStr">
        <is>
          <t>West</t>
        </is>
      </c>
      <c r="F203" s="16" t="inlineStr">
        <is>
          <t>Online</t>
        </is>
      </c>
      <c r="G203" s="16" t="n">
        <v>8</v>
      </c>
      <c r="H203" s="18" t="n">
        <v>528.89</v>
      </c>
      <c r="I203" s="19" t="n">
        <v>0.05</v>
      </c>
      <c r="J203" s="18" t="n">
        <v>4019.56</v>
      </c>
      <c r="K203" s="18" t="n">
        <v>2136.87</v>
      </c>
      <c r="L203" s="18" t="n">
        <v>1882.69</v>
      </c>
    </row>
    <row r="204">
      <c r="A204" s="16" t="inlineStr">
        <is>
          <t>ORD0081</t>
        </is>
      </c>
      <c r="B204" s="17" t="n">
        <v>45781</v>
      </c>
      <c r="C204" s="16" t="inlineStr">
        <is>
          <t>Headphones</t>
        </is>
      </c>
      <c r="D204" s="16" t="inlineStr">
        <is>
          <t>Electronics</t>
        </is>
      </c>
      <c r="E204" s="16" t="inlineStr">
        <is>
          <t>West</t>
        </is>
      </c>
      <c r="F204" s="16" t="inlineStr">
        <is>
          <t>Online</t>
        </is>
      </c>
      <c r="G204" s="16" t="n">
        <v>7</v>
      </c>
      <c r="H204" s="18" t="n">
        <v>1226.53</v>
      </c>
      <c r="I204" s="19" t="n">
        <v>0.15</v>
      </c>
      <c r="J204" s="18" t="n">
        <v>7297.85</v>
      </c>
      <c r="K204" s="18" t="n">
        <v>4989.22</v>
      </c>
      <c r="L204" s="18" t="n">
        <v>2308.63</v>
      </c>
    </row>
    <row r="205">
      <c r="A205" s="16" t="inlineStr">
        <is>
          <t>ORD0212</t>
        </is>
      </c>
      <c r="B205" s="17" t="n">
        <v>45783</v>
      </c>
      <c r="C205" s="16" t="inlineStr">
        <is>
          <t>Storage Box</t>
        </is>
      </c>
      <c r="D205" s="16" t="inlineStr">
        <is>
          <t>Home &amp; Kitchen</t>
        </is>
      </c>
      <c r="E205" s="16" t="inlineStr">
        <is>
          <t>West</t>
        </is>
      </c>
      <c r="F205" s="16" t="inlineStr">
        <is>
          <t>Online</t>
        </is>
      </c>
      <c r="G205" s="16" t="n">
        <v>3</v>
      </c>
      <c r="H205" s="18" t="n">
        <v>910.0700000000001</v>
      </c>
      <c r="I205" s="19" t="n">
        <v>0</v>
      </c>
      <c r="J205" s="18" t="n">
        <v>2730.21</v>
      </c>
      <c r="K205" s="18" t="n">
        <v>1442.12</v>
      </c>
      <c r="L205" s="18" t="n">
        <v>1288.09</v>
      </c>
    </row>
    <row r="206">
      <c r="A206" s="16" t="inlineStr">
        <is>
          <t>ORD0098</t>
        </is>
      </c>
      <c r="B206" s="17" t="n">
        <v>45786</v>
      </c>
      <c r="C206" s="16" t="inlineStr">
        <is>
          <t>Backpack</t>
        </is>
      </c>
      <c r="D206" s="16" t="inlineStr">
        <is>
          <t>Fashion</t>
        </is>
      </c>
      <c r="E206" s="16" t="inlineStr">
        <is>
          <t>North</t>
        </is>
      </c>
      <c r="F206" s="16" t="inlineStr">
        <is>
          <t>Online</t>
        </is>
      </c>
      <c r="G206" s="16" t="n">
        <v>8</v>
      </c>
      <c r="H206" s="18" t="n">
        <v>1564.41</v>
      </c>
      <c r="I206" s="19" t="n">
        <v>0.1</v>
      </c>
      <c r="J206" s="18" t="n">
        <v>11263.75</v>
      </c>
      <c r="K206" s="18" t="n">
        <v>6415.37</v>
      </c>
      <c r="L206" s="18" t="n">
        <v>4848.38</v>
      </c>
    </row>
    <row r="207">
      <c r="A207" s="16" t="inlineStr">
        <is>
          <t>ORD0111</t>
        </is>
      </c>
      <c r="B207" s="17" t="n">
        <v>45786</v>
      </c>
      <c r="C207" s="16" t="inlineStr">
        <is>
          <t>Keyboard</t>
        </is>
      </c>
      <c r="D207" s="16" t="inlineStr">
        <is>
          <t>Electronics</t>
        </is>
      </c>
      <c r="E207" s="16" t="inlineStr">
        <is>
          <t>South</t>
        </is>
      </c>
      <c r="F207" s="16" t="inlineStr">
        <is>
          <t>Online</t>
        </is>
      </c>
      <c r="G207" s="16" t="n">
        <v>7</v>
      </c>
      <c r="H207" s="18" t="n">
        <v>1890.31</v>
      </c>
      <c r="I207" s="19" t="n">
        <v>0.15</v>
      </c>
      <c r="J207" s="18" t="n">
        <v>11247.34</v>
      </c>
      <c r="K207" s="18" t="n">
        <v>6713.84</v>
      </c>
      <c r="L207" s="18" t="n">
        <v>4533.5</v>
      </c>
    </row>
    <row r="208">
      <c r="A208" s="16" t="inlineStr">
        <is>
          <t>ORD0276</t>
        </is>
      </c>
      <c r="B208" s="17" t="n">
        <v>45787</v>
      </c>
      <c r="C208" s="16" t="inlineStr">
        <is>
          <t>Mouse</t>
        </is>
      </c>
      <c r="D208" s="16" t="inlineStr">
        <is>
          <t>Electronics</t>
        </is>
      </c>
      <c r="E208" s="16" t="inlineStr">
        <is>
          <t>North</t>
        </is>
      </c>
      <c r="F208" s="16" t="inlineStr">
        <is>
          <t>Store</t>
        </is>
      </c>
      <c r="G208" s="16" t="n">
        <v>5</v>
      </c>
      <c r="H208" s="18" t="n">
        <v>826.33</v>
      </c>
      <c r="I208" s="19" t="n">
        <v>0.1</v>
      </c>
      <c r="J208" s="18" t="n">
        <v>3718.49</v>
      </c>
      <c r="K208" s="18" t="n">
        <v>2507.71</v>
      </c>
      <c r="L208" s="18" t="n">
        <v>1210.78</v>
      </c>
    </row>
    <row r="209">
      <c r="A209" s="16" t="inlineStr">
        <is>
          <t>ORD0256</t>
        </is>
      </c>
      <c r="B209" s="17" t="n">
        <v>45792</v>
      </c>
      <c r="C209" s="16" t="inlineStr">
        <is>
          <t>Wallet</t>
        </is>
      </c>
      <c r="D209" s="16" t="inlineStr">
        <is>
          <t>Fashion</t>
        </is>
      </c>
      <c r="E209" s="16" t="inlineStr">
        <is>
          <t>East</t>
        </is>
      </c>
      <c r="F209" s="16" t="inlineStr">
        <is>
          <t>Online</t>
        </is>
      </c>
      <c r="G209" s="16" t="n">
        <v>3</v>
      </c>
      <c r="H209" s="18" t="n">
        <v>829.85</v>
      </c>
      <c r="I209" s="19" t="n">
        <v>0.05</v>
      </c>
      <c r="J209" s="18" t="n">
        <v>2365.07</v>
      </c>
      <c r="K209" s="18" t="n">
        <v>1333.92</v>
      </c>
      <c r="L209" s="18" t="n">
        <v>1031.15</v>
      </c>
    </row>
    <row r="210">
      <c r="A210" s="16" t="inlineStr">
        <is>
          <t>ORD0080</t>
        </is>
      </c>
      <c r="B210" s="17" t="n">
        <v>45794</v>
      </c>
      <c r="C210" s="16" t="inlineStr">
        <is>
          <t>Headphones</t>
        </is>
      </c>
      <c r="D210" s="16" t="inlineStr">
        <is>
          <t>Electronics</t>
        </is>
      </c>
      <c r="E210" s="16" t="inlineStr">
        <is>
          <t>West</t>
        </is>
      </c>
      <c r="F210" s="16" t="inlineStr">
        <is>
          <t>Store</t>
        </is>
      </c>
      <c r="G210" s="16" t="n">
        <v>5</v>
      </c>
      <c r="H210" s="18" t="n">
        <v>1217.15</v>
      </c>
      <c r="I210" s="19" t="n">
        <v>0.1</v>
      </c>
      <c r="J210" s="18" t="n">
        <v>5477.18</v>
      </c>
      <c r="K210" s="18" t="n">
        <v>3333.32</v>
      </c>
      <c r="L210" s="18" t="n">
        <v>2143.86</v>
      </c>
    </row>
    <row r="211">
      <c r="A211" s="16" t="inlineStr">
        <is>
          <t>ORD0120</t>
        </is>
      </c>
      <c r="B211" s="17" t="n">
        <v>45796</v>
      </c>
      <c r="C211" s="16" t="inlineStr">
        <is>
          <t>Headphones</t>
        </is>
      </c>
      <c r="D211" s="16" t="inlineStr">
        <is>
          <t>Electronics</t>
        </is>
      </c>
      <c r="E211" s="16" t="inlineStr">
        <is>
          <t>South</t>
        </is>
      </c>
      <c r="F211" s="16" t="inlineStr">
        <is>
          <t>Wholesale</t>
        </is>
      </c>
      <c r="G211" s="16" t="n">
        <v>4</v>
      </c>
      <c r="H211" s="18" t="n">
        <v>1392.65</v>
      </c>
      <c r="I211" s="19" t="n">
        <v>0</v>
      </c>
      <c r="J211" s="18" t="n">
        <v>5570.6</v>
      </c>
      <c r="K211" s="18" t="n">
        <v>3459.61</v>
      </c>
      <c r="L211" s="18" t="n">
        <v>2110.99</v>
      </c>
    </row>
    <row r="212">
      <c r="A212" s="16" t="inlineStr">
        <is>
          <t>ORD0253</t>
        </is>
      </c>
      <c r="B212" s="17" t="n">
        <v>45801</v>
      </c>
      <c r="C212" s="16" t="inlineStr">
        <is>
          <t>T-Shirt</t>
        </is>
      </c>
      <c r="D212" s="16" t="inlineStr">
        <is>
          <t>Fashion</t>
        </is>
      </c>
      <c r="E212" s="16" t="inlineStr">
        <is>
          <t>South</t>
        </is>
      </c>
      <c r="F212" s="16" t="inlineStr">
        <is>
          <t>Store</t>
        </is>
      </c>
      <c r="G212" s="16" t="n">
        <v>8</v>
      </c>
      <c r="H212" s="18" t="n">
        <v>669.9400000000001</v>
      </c>
      <c r="I212" s="19" t="n">
        <v>0.05</v>
      </c>
      <c r="J212" s="18" t="n">
        <v>5091.54</v>
      </c>
      <c r="K212" s="18" t="n">
        <v>3857.99</v>
      </c>
      <c r="L212" s="18" t="n">
        <v>1233.55</v>
      </c>
    </row>
    <row r="213">
      <c r="A213" s="16" t="inlineStr">
        <is>
          <t>ORD0203</t>
        </is>
      </c>
      <c r="B213" s="17" t="n">
        <v>45802</v>
      </c>
      <c r="C213" s="16" t="inlineStr">
        <is>
          <t>Wallet</t>
        </is>
      </c>
      <c r="D213" s="16" t="inlineStr">
        <is>
          <t>Fashion</t>
        </is>
      </c>
      <c r="E213" s="16" t="inlineStr">
        <is>
          <t>East</t>
        </is>
      </c>
      <c r="F213" s="16" t="inlineStr">
        <is>
          <t>Online</t>
        </is>
      </c>
      <c r="G213" s="16" t="n">
        <v>5</v>
      </c>
      <c r="H213" s="18" t="n">
        <v>768.0599999999999</v>
      </c>
      <c r="I213" s="19" t="n">
        <v>0</v>
      </c>
      <c r="J213" s="18" t="n">
        <v>3840.3</v>
      </c>
      <c r="K213" s="18" t="n">
        <v>2940.75</v>
      </c>
      <c r="L213" s="18" t="n">
        <v>899.55</v>
      </c>
    </row>
    <row r="214">
      <c r="A214" s="16" t="inlineStr">
        <is>
          <t>ORD0243</t>
        </is>
      </c>
      <c r="B214" s="17" t="n">
        <v>45807</v>
      </c>
      <c r="C214" s="16" t="inlineStr">
        <is>
          <t>Pens Set</t>
        </is>
      </c>
      <c r="D214" s="16" t="inlineStr">
        <is>
          <t>Stationery</t>
        </is>
      </c>
      <c r="E214" s="16" t="inlineStr">
        <is>
          <t>North</t>
        </is>
      </c>
      <c r="F214" s="16" t="inlineStr">
        <is>
          <t>Wholesale</t>
        </is>
      </c>
      <c r="G214" s="16" t="n">
        <v>6</v>
      </c>
      <c r="H214" s="18" t="n">
        <v>189.38</v>
      </c>
      <c r="I214" s="19" t="n">
        <v>0.05</v>
      </c>
      <c r="J214" s="18" t="n">
        <v>1079.47</v>
      </c>
      <c r="K214" s="18" t="n">
        <v>627.8099999999999</v>
      </c>
      <c r="L214" s="18" t="n">
        <v>451.66</v>
      </c>
    </row>
    <row r="215">
      <c r="A215" s="16" t="inlineStr">
        <is>
          <t>ORD0149</t>
        </is>
      </c>
      <c r="B215" s="17" t="n">
        <v>45814</v>
      </c>
      <c r="C215" s="16" t="inlineStr">
        <is>
          <t>Desk Lamp</t>
        </is>
      </c>
      <c r="D215" s="16" t="inlineStr">
        <is>
          <t>Home &amp; Kitchen</t>
        </is>
      </c>
      <c r="E215" s="16" t="inlineStr">
        <is>
          <t>North</t>
        </is>
      </c>
      <c r="F215" s="16" t="inlineStr">
        <is>
          <t>Store</t>
        </is>
      </c>
      <c r="G215" s="16" t="n">
        <v>6</v>
      </c>
      <c r="H215" s="18" t="n">
        <v>1546.42</v>
      </c>
      <c r="I215" s="19" t="n">
        <v>0</v>
      </c>
      <c r="J215" s="18" t="n">
        <v>9278.52</v>
      </c>
      <c r="K215" s="18" t="n">
        <v>5394.81</v>
      </c>
      <c r="L215" s="18" t="n">
        <v>3883.71</v>
      </c>
    </row>
    <row r="216">
      <c r="A216" s="16" t="inlineStr">
        <is>
          <t>ORD0300</t>
        </is>
      </c>
      <c r="B216" s="17" t="n">
        <v>45815</v>
      </c>
      <c r="C216" s="16" t="inlineStr">
        <is>
          <t>Headphones</t>
        </is>
      </c>
      <c r="D216" s="16" t="inlineStr">
        <is>
          <t>Electronics</t>
        </is>
      </c>
      <c r="E216" s="16" t="inlineStr">
        <is>
          <t>West</t>
        </is>
      </c>
      <c r="F216" s="16" t="inlineStr">
        <is>
          <t>Wholesale</t>
        </is>
      </c>
      <c r="G216" s="16" t="n">
        <v>5</v>
      </c>
      <c r="H216" s="18" t="n">
        <v>1345.55</v>
      </c>
      <c r="I216" s="19" t="n">
        <v>0.05</v>
      </c>
      <c r="J216" s="18" t="n">
        <v>6391.36</v>
      </c>
      <c r="K216" s="18" t="n">
        <v>4224.25</v>
      </c>
      <c r="L216" s="18" t="n">
        <v>2167.11</v>
      </c>
    </row>
    <row r="217">
      <c r="A217" s="16" t="inlineStr">
        <is>
          <t>ORD0184</t>
        </is>
      </c>
      <c r="B217" s="17" t="n">
        <v>45817</v>
      </c>
      <c r="C217" s="16" t="inlineStr">
        <is>
          <t>Water Bottle</t>
        </is>
      </c>
      <c r="D217" s="16" t="inlineStr">
        <is>
          <t>Home &amp; Kitchen</t>
        </is>
      </c>
      <c r="E217" s="16" t="inlineStr">
        <is>
          <t>West</t>
        </is>
      </c>
      <c r="F217" s="16" t="inlineStr">
        <is>
          <t>Online</t>
        </is>
      </c>
      <c r="G217" s="16" t="n">
        <v>3</v>
      </c>
      <c r="H217" s="18" t="n">
        <v>516.17</v>
      </c>
      <c r="I217" s="19" t="n">
        <v>0.1</v>
      </c>
      <c r="J217" s="18" t="n">
        <v>1393.66</v>
      </c>
      <c r="K217" s="18" t="n">
        <v>737.3099999999999</v>
      </c>
      <c r="L217" s="18" t="n">
        <v>656.35</v>
      </c>
    </row>
    <row r="218">
      <c r="A218" s="16" t="inlineStr">
        <is>
          <t>ORD0167</t>
        </is>
      </c>
      <c r="B218" s="17" t="n">
        <v>45820</v>
      </c>
      <c r="C218" s="16" t="inlineStr">
        <is>
          <t>Mouse</t>
        </is>
      </c>
      <c r="D218" s="16" t="inlineStr">
        <is>
          <t>Electronics</t>
        </is>
      </c>
      <c r="E218" s="16" t="inlineStr">
        <is>
          <t>North</t>
        </is>
      </c>
      <c r="F218" s="16" t="inlineStr">
        <is>
          <t>Store</t>
        </is>
      </c>
      <c r="G218" s="16" t="n">
        <v>2</v>
      </c>
      <c r="H218" s="18" t="n">
        <v>781.96</v>
      </c>
      <c r="I218" s="19" t="n">
        <v>0.05</v>
      </c>
      <c r="J218" s="18" t="n">
        <v>1485.72</v>
      </c>
      <c r="K218" s="18" t="n">
        <v>946.14</v>
      </c>
      <c r="L218" s="18" t="n">
        <v>539.58</v>
      </c>
    </row>
    <row r="219">
      <c r="A219" s="16" t="inlineStr">
        <is>
          <t>ORD0195</t>
        </is>
      </c>
      <c r="B219" s="17" t="n">
        <v>45823</v>
      </c>
      <c r="C219" s="16" t="inlineStr">
        <is>
          <t>Notebook Pack</t>
        </is>
      </c>
      <c r="D219" s="16" t="inlineStr">
        <is>
          <t>Stationery</t>
        </is>
      </c>
      <c r="E219" s="16" t="inlineStr">
        <is>
          <t>South</t>
        </is>
      </c>
      <c r="F219" s="16" t="inlineStr">
        <is>
          <t>Wholesale</t>
        </is>
      </c>
      <c r="G219" s="16" t="n">
        <v>5</v>
      </c>
      <c r="H219" s="18" t="n">
        <v>229.68</v>
      </c>
      <c r="I219" s="19" t="n">
        <v>0.15</v>
      </c>
      <c r="J219" s="18" t="n">
        <v>976.14</v>
      </c>
      <c r="K219" s="18" t="n">
        <v>577.25</v>
      </c>
      <c r="L219" s="18" t="n">
        <v>398.89</v>
      </c>
    </row>
    <row r="220">
      <c r="A220" s="16" t="inlineStr">
        <is>
          <t>ORD0244</t>
        </is>
      </c>
      <c r="B220" s="17" t="n">
        <v>45825</v>
      </c>
      <c r="C220" s="16" t="inlineStr">
        <is>
          <t>Storage Box</t>
        </is>
      </c>
      <c r="D220" s="16" t="inlineStr">
        <is>
          <t>Home &amp; Kitchen</t>
        </is>
      </c>
      <c r="E220" s="16" t="inlineStr">
        <is>
          <t>North</t>
        </is>
      </c>
      <c r="F220" s="16" t="inlineStr">
        <is>
          <t>Wholesale</t>
        </is>
      </c>
      <c r="G220" s="16" t="n">
        <v>5</v>
      </c>
      <c r="H220" s="18" t="n">
        <v>757.04</v>
      </c>
      <c r="I220" s="19" t="n">
        <v>0.15</v>
      </c>
      <c r="J220" s="18" t="n">
        <v>3217.42</v>
      </c>
      <c r="K220" s="18" t="n">
        <v>2466.52</v>
      </c>
      <c r="L220" s="18" t="n">
        <v>750.9</v>
      </c>
    </row>
    <row r="221">
      <c r="A221" s="16" t="inlineStr">
        <is>
          <t>ORD0220</t>
        </is>
      </c>
      <c r="B221" s="17" t="n">
        <v>45835</v>
      </c>
      <c r="C221" s="16" t="inlineStr">
        <is>
          <t>Lunch Box</t>
        </is>
      </c>
      <c r="D221" s="16" t="inlineStr">
        <is>
          <t>Home &amp; Kitchen</t>
        </is>
      </c>
      <c r="E221" s="16" t="inlineStr">
        <is>
          <t>West</t>
        </is>
      </c>
      <c r="F221" s="16" t="inlineStr">
        <is>
          <t>Wholesale</t>
        </is>
      </c>
      <c r="G221" s="16" t="n">
        <v>1</v>
      </c>
      <c r="H221" s="18" t="n">
        <v>575.3</v>
      </c>
      <c r="I221" s="19" t="n">
        <v>0.05</v>
      </c>
      <c r="J221" s="18" t="n">
        <v>546.53</v>
      </c>
      <c r="K221" s="18" t="n">
        <v>386.13</v>
      </c>
      <c r="L221" s="18" t="n">
        <v>160.4</v>
      </c>
    </row>
    <row r="222">
      <c r="A222" s="16" t="inlineStr">
        <is>
          <t>ORD0069</t>
        </is>
      </c>
      <c r="B222" s="17" t="n">
        <v>45837</v>
      </c>
      <c r="C222" s="16" t="inlineStr">
        <is>
          <t>Cap</t>
        </is>
      </c>
      <c r="D222" s="16" t="inlineStr">
        <is>
          <t>Fashion</t>
        </is>
      </c>
      <c r="E222" s="16" t="inlineStr">
        <is>
          <t>East</t>
        </is>
      </c>
      <c r="F222" s="16" t="inlineStr">
        <is>
          <t>Store</t>
        </is>
      </c>
      <c r="G222" s="16" t="n">
        <v>2</v>
      </c>
      <c r="H222" s="18" t="n">
        <v>359.48</v>
      </c>
      <c r="I222" s="19" t="n">
        <v>0.05</v>
      </c>
      <c r="J222" s="18" t="n">
        <v>683.01</v>
      </c>
      <c r="K222" s="18" t="n">
        <v>357.41</v>
      </c>
      <c r="L222" s="18" t="n">
        <v>325.6</v>
      </c>
    </row>
    <row r="223">
      <c r="A223" s="16" t="inlineStr">
        <is>
          <t>ORD0196</t>
        </is>
      </c>
      <c r="B223" s="17" t="n">
        <v>45838</v>
      </c>
      <c r="C223" s="16" t="inlineStr">
        <is>
          <t>Keyboard</t>
        </is>
      </c>
      <c r="D223" s="16" t="inlineStr">
        <is>
          <t>Electronics</t>
        </is>
      </c>
      <c r="E223" s="16" t="inlineStr">
        <is>
          <t>South</t>
        </is>
      </c>
      <c r="F223" s="16" t="inlineStr">
        <is>
          <t>Wholesale</t>
        </is>
      </c>
      <c r="G223" s="16" t="n">
        <v>3</v>
      </c>
      <c r="H223" s="18" t="n">
        <v>1637.86</v>
      </c>
      <c r="I223" s="19" t="n">
        <v>0.15</v>
      </c>
      <c r="J223" s="18" t="n">
        <v>4176.54</v>
      </c>
      <c r="K223" s="18" t="n">
        <v>2954.34</v>
      </c>
      <c r="L223" s="18" t="n">
        <v>1222.2</v>
      </c>
    </row>
    <row r="224">
      <c r="A224" s="16" t="inlineStr">
        <is>
          <t>ORD0205</t>
        </is>
      </c>
      <c r="B224" s="17" t="n">
        <v>45841</v>
      </c>
      <c r="C224" s="16" t="inlineStr">
        <is>
          <t>Headphones</t>
        </is>
      </c>
      <c r="D224" s="16" t="inlineStr">
        <is>
          <t>Electronics</t>
        </is>
      </c>
      <c r="E224" s="16" t="inlineStr">
        <is>
          <t>East</t>
        </is>
      </c>
      <c r="F224" s="16" t="inlineStr">
        <is>
          <t>Store</t>
        </is>
      </c>
      <c r="G224" s="16" t="n">
        <v>7</v>
      </c>
      <c r="H224" s="18" t="n">
        <v>1076.25</v>
      </c>
      <c r="I224" s="19" t="n">
        <v>0.05</v>
      </c>
      <c r="J224" s="18" t="n">
        <v>7157.06</v>
      </c>
      <c r="K224" s="18" t="n">
        <v>5075.44</v>
      </c>
      <c r="L224" s="18" t="n">
        <v>2081.62</v>
      </c>
    </row>
    <row r="225">
      <c r="A225" s="16" t="inlineStr">
        <is>
          <t>ORD0233</t>
        </is>
      </c>
      <c r="B225" s="17" t="n">
        <v>45841</v>
      </c>
      <c r="C225" s="16" t="inlineStr">
        <is>
          <t>Lunch Box</t>
        </is>
      </c>
      <c r="D225" s="16" t="inlineStr">
        <is>
          <t>Home &amp; Kitchen</t>
        </is>
      </c>
      <c r="E225" s="16" t="inlineStr">
        <is>
          <t>North</t>
        </is>
      </c>
      <c r="F225" s="16" t="inlineStr">
        <is>
          <t>Wholesale</t>
        </is>
      </c>
      <c r="G225" s="16" t="n">
        <v>6</v>
      </c>
      <c r="H225" s="18" t="n">
        <v>746.9</v>
      </c>
      <c r="I225" s="19" t="n">
        <v>0.1</v>
      </c>
      <c r="J225" s="18" t="n">
        <v>4033.26</v>
      </c>
      <c r="K225" s="18" t="n">
        <v>2219.19</v>
      </c>
      <c r="L225" s="18" t="n">
        <v>1814.07</v>
      </c>
    </row>
    <row r="226">
      <c r="A226" s="16" t="inlineStr">
        <is>
          <t>ORD0032</t>
        </is>
      </c>
      <c r="B226" s="17" t="n">
        <v>45842</v>
      </c>
      <c r="C226" s="16" t="inlineStr">
        <is>
          <t>Desk Lamp</t>
        </is>
      </c>
      <c r="D226" s="16" t="inlineStr">
        <is>
          <t>Home &amp; Kitchen</t>
        </is>
      </c>
      <c r="E226" s="16" t="inlineStr">
        <is>
          <t>South</t>
        </is>
      </c>
      <c r="F226" s="16" t="inlineStr">
        <is>
          <t>Store</t>
        </is>
      </c>
      <c r="G226" s="16" t="n">
        <v>3</v>
      </c>
      <c r="H226" s="18" t="n">
        <v>1647.3</v>
      </c>
      <c r="I226" s="19" t="n">
        <v>0</v>
      </c>
      <c r="J226" s="18" t="n">
        <v>4941.9</v>
      </c>
      <c r="K226" s="18" t="n">
        <v>3699.56</v>
      </c>
      <c r="L226" s="18" t="n">
        <v>1242.34</v>
      </c>
    </row>
    <row r="227">
      <c r="A227" s="16" t="inlineStr">
        <is>
          <t>ORD0219</t>
        </is>
      </c>
      <c r="B227" s="17" t="n">
        <v>45843</v>
      </c>
      <c r="C227" s="16" t="inlineStr">
        <is>
          <t>Planner</t>
        </is>
      </c>
      <c r="D227" s="16" t="inlineStr">
        <is>
          <t>Stationery</t>
        </is>
      </c>
      <c r="E227" s="16" t="inlineStr">
        <is>
          <t>West</t>
        </is>
      </c>
      <c r="F227" s="16" t="inlineStr">
        <is>
          <t>Wholesale</t>
        </is>
      </c>
      <c r="G227" s="16" t="n">
        <v>3</v>
      </c>
      <c r="H227" s="18" t="n">
        <v>310.88</v>
      </c>
      <c r="I227" s="19" t="n">
        <v>0.15</v>
      </c>
      <c r="J227" s="18" t="n">
        <v>792.74</v>
      </c>
      <c r="K227" s="18" t="n">
        <v>461.54</v>
      </c>
      <c r="L227" s="18" t="n">
        <v>331.2</v>
      </c>
    </row>
    <row r="228">
      <c r="A228" s="16" t="inlineStr">
        <is>
          <t>ORD0071</t>
        </is>
      </c>
      <c r="B228" s="17" t="n">
        <v>45843</v>
      </c>
      <c r="C228" s="16" t="inlineStr">
        <is>
          <t>Wallet</t>
        </is>
      </c>
      <c r="D228" s="16" t="inlineStr">
        <is>
          <t>Fashion</t>
        </is>
      </c>
      <c r="E228" s="16" t="inlineStr">
        <is>
          <t>North</t>
        </is>
      </c>
      <c r="F228" s="16" t="inlineStr">
        <is>
          <t>Online</t>
        </is>
      </c>
      <c r="G228" s="16" t="n">
        <v>7</v>
      </c>
      <c r="H228" s="18" t="n">
        <v>854.26</v>
      </c>
      <c r="I228" s="19" t="n">
        <v>0.15</v>
      </c>
      <c r="J228" s="18" t="n">
        <v>5082.85</v>
      </c>
      <c r="K228" s="18" t="n">
        <v>2997.78</v>
      </c>
      <c r="L228" s="18" t="n">
        <v>2085.07</v>
      </c>
    </row>
    <row r="229">
      <c r="A229" s="16" t="inlineStr">
        <is>
          <t>ORD0089</t>
        </is>
      </c>
      <c r="B229" s="17" t="n">
        <v>45844</v>
      </c>
      <c r="C229" s="16" t="inlineStr">
        <is>
          <t>Wallet</t>
        </is>
      </c>
      <c r="D229" s="16" t="inlineStr">
        <is>
          <t>Fashion</t>
        </is>
      </c>
      <c r="E229" s="16" t="inlineStr">
        <is>
          <t>South</t>
        </is>
      </c>
      <c r="F229" s="16" t="inlineStr">
        <is>
          <t>Online</t>
        </is>
      </c>
      <c r="G229" s="16" t="n">
        <v>2</v>
      </c>
      <c r="H229" s="18" t="n">
        <v>794.48</v>
      </c>
      <c r="I229" s="19" t="n">
        <v>0.1</v>
      </c>
      <c r="J229" s="18" t="n">
        <v>1430.06</v>
      </c>
      <c r="K229" s="18" t="n">
        <v>1016.74</v>
      </c>
      <c r="L229" s="18" t="n">
        <v>413.32</v>
      </c>
    </row>
    <row r="230">
      <c r="A230" s="16" t="inlineStr">
        <is>
          <t>ORD0267</t>
        </is>
      </c>
      <c r="B230" s="17" t="n">
        <v>45845</v>
      </c>
      <c r="C230" s="16" t="inlineStr">
        <is>
          <t>Markers</t>
        </is>
      </c>
      <c r="D230" s="16" t="inlineStr">
        <is>
          <t>Stationery</t>
        </is>
      </c>
      <c r="E230" s="16" t="inlineStr">
        <is>
          <t>South</t>
        </is>
      </c>
      <c r="F230" s="16" t="inlineStr">
        <is>
          <t>Online</t>
        </is>
      </c>
      <c r="G230" s="16" t="n">
        <v>3</v>
      </c>
      <c r="H230" s="18" t="n">
        <v>247.87</v>
      </c>
      <c r="I230" s="19" t="n">
        <v>0</v>
      </c>
      <c r="J230" s="18" t="n">
        <v>743.61</v>
      </c>
      <c r="K230" s="18" t="n">
        <v>483.5</v>
      </c>
      <c r="L230" s="18" t="n">
        <v>260.11</v>
      </c>
    </row>
    <row r="231">
      <c r="A231" s="16" t="inlineStr">
        <is>
          <t>ORD0094</t>
        </is>
      </c>
      <c r="B231" s="17" t="n">
        <v>45847</v>
      </c>
      <c r="C231" s="16" t="inlineStr">
        <is>
          <t>Wallet</t>
        </is>
      </c>
      <c r="D231" s="16" t="inlineStr">
        <is>
          <t>Fashion</t>
        </is>
      </c>
      <c r="E231" s="16" t="inlineStr">
        <is>
          <t>East</t>
        </is>
      </c>
      <c r="F231" s="16" t="inlineStr">
        <is>
          <t>Wholesale</t>
        </is>
      </c>
      <c r="G231" s="16" t="n">
        <v>1</v>
      </c>
      <c r="H231" s="18" t="n">
        <v>686.74</v>
      </c>
      <c r="I231" s="19" t="n">
        <v>0.05</v>
      </c>
      <c r="J231" s="18" t="n">
        <v>652.4</v>
      </c>
      <c r="K231" s="18" t="n">
        <v>444.86</v>
      </c>
      <c r="L231" s="18" t="n">
        <v>207.54</v>
      </c>
    </row>
    <row r="232">
      <c r="A232" s="16" t="inlineStr">
        <is>
          <t>ORD0257</t>
        </is>
      </c>
      <c r="B232" s="17" t="n">
        <v>45847</v>
      </c>
      <c r="C232" s="16" t="inlineStr">
        <is>
          <t>Headphones</t>
        </is>
      </c>
      <c r="D232" s="16" t="inlineStr">
        <is>
          <t>Electronics</t>
        </is>
      </c>
      <c r="E232" s="16" t="inlineStr">
        <is>
          <t>East</t>
        </is>
      </c>
      <c r="F232" s="16" t="inlineStr">
        <is>
          <t>Online</t>
        </is>
      </c>
      <c r="G232" s="16" t="n">
        <v>2</v>
      </c>
      <c r="H232" s="18" t="n">
        <v>1416.98</v>
      </c>
      <c r="I232" s="19" t="n">
        <v>0</v>
      </c>
      <c r="J232" s="18" t="n">
        <v>2833.96</v>
      </c>
      <c r="K232" s="18" t="n">
        <v>2036.85</v>
      </c>
      <c r="L232" s="18" t="n">
        <v>797.11</v>
      </c>
    </row>
    <row r="233">
      <c r="A233" s="16" t="inlineStr">
        <is>
          <t>ORD0240</t>
        </is>
      </c>
      <c r="B233" s="17" t="n">
        <v>45849</v>
      </c>
      <c r="C233" s="16" t="inlineStr">
        <is>
          <t>Wallet</t>
        </is>
      </c>
      <c r="D233" s="16" t="inlineStr">
        <is>
          <t>Fashion</t>
        </is>
      </c>
      <c r="E233" s="16" t="inlineStr">
        <is>
          <t>North</t>
        </is>
      </c>
      <c r="F233" s="16" t="inlineStr">
        <is>
          <t>Wholesale</t>
        </is>
      </c>
      <c r="G233" s="16" t="n">
        <v>4</v>
      </c>
      <c r="H233" s="18" t="n">
        <v>702.47</v>
      </c>
      <c r="I233" s="19" t="n">
        <v>0.05</v>
      </c>
      <c r="J233" s="18" t="n">
        <v>2669.39</v>
      </c>
      <c r="K233" s="18" t="n">
        <v>1495.74</v>
      </c>
      <c r="L233" s="18" t="n">
        <v>1173.65</v>
      </c>
    </row>
    <row r="234">
      <c r="A234" s="16" t="inlineStr">
        <is>
          <t>ORD0060</t>
        </is>
      </c>
      <c r="B234" s="17" t="n">
        <v>45851</v>
      </c>
      <c r="C234" s="16" t="inlineStr">
        <is>
          <t>Storage Box</t>
        </is>
      </c>
      <c r="D234" s="16" t="inlineStr">
        <is>
          <t>Home &amp; Kitchen</t>
        </is>
      </c>
      <c r="E234" s="16" t="inlineStr">
        <is>
          <t>South</t>
        </is>
      </c>
      <c r="F234" s="16" t="inlineStr">
        <is>
          <t>Wholesale</t>
        </is>
      </c>
      <c r="G234" s="16" t="n">
        <v>4</v>
      </c>
      <c r="H234" s="18" t="n">
        <v>756.42</v>
      </c>
      <c r="I234" s="19" t="n">
        <v>0.1</v>
      </c>
      <c r="J234" s="18" t="n">
        <v>2723.11</v>
      </c>
      <c r="K234" s="18" t="n">
        <v>1436.57</v>
      </c>
      <c r="L234" s="18" t="n">
        <v>1286.54</v>
      </c>
    </row>
    <row r="235">
      <c r="A235" s="16" t="inlineStr">
        <is>
          <t>ORD0025</t>
        </is>
      </c>
      <c r="B235" s="17" t="n">
        <v>45855</v>
      </c>
      <c r="C235" s="16" t="inlineStr">
        <is>
          <t>Headphones</t>
        </is>
      </c>
      <c r="D235" s="16" t="inlineStr">
        <is>
          <t>Electronics</t>
        </is>
      </c>
      <c r="E235" s="16" t="inlineStr">
        <is>
          <t>East</t>
        </is>
      </c>
      <c r="F235" s="16" t="inlineStr">
        <is>
          <t>Store</t>
        </is>
      </c>
      <c r="G235" s="16" t="n">
        <v>1</v>
      </c>
      <c r="H235" s="18" t="n">
        <v>1426.98</v>
      </c>
      <c r="I235" s="19" t="n">
        <v>0</v>
      </c>
      <c r="J235" s="18" t="n">
        <v>1426.98</v>
      </c>
      <c r="K235" s="18" t="n">
        <v>803.73</v>
      </c>
      <c r="L235" s="18" t="n">
        <v>623.25</v>
      </c>
    </row>
    <row r="236">
      <c r="A236" s="16" t="inlineStr">
        <is>
          <t>ORD0281</t>
        </is>
      </c>
      <c r="B236" s="17" t="n">
        <v>45855</v>
      </c>
      <c r="C236" s="16" t="inlineStr">
        <is>
          <t>USB Drive</t>
        </is>
      </c>
      <c r="D236" s="16" t="inlineStr">
        <is>
          <t>Electronics</t>
        </is>
      </c>
      <c r="E236" s="16" t="inlineStr">
        <is>
          <t>West</t>
        </is>
      </c>
      <c r="F236" s="16" t="inlineStr">
        <is>
          <t>Store</t>
        </is>
      </c>
      <c r="G236" s="16" t="n">
        <v>4</v>
      </c>
      <c r="H236" s="18" t="n">
        <v>551.9</v>
      </c>
      <c r="I236" s="19" t="n">
        <v>0.05</v>
      </c>
      <c r="J236" s="18" t="n">
        <v>2097.22</v>
      </c>
      <c r="K236" s="18" t="n">
        <v>1543.83</v>
      </c>
      <c r="L236" s="18" t="n">
        <v>553.39</v>
      </c>
    </row>
    <row r="237">
      <c r="A237" s="16" t="inlineStr">
        <is>
          <t>ORD0006</t>
        </is>
      </c>
      <c r="B237" s="17" t="n">
        <v>45857</v>
      </c>
      <c r="C237" s="16" t="inlineStr">
        <is>
          <t>Planner</t>
        </is>
      </c>
      <c r="D237" s="16" t="inlineStr">
        <is>
          <t>Stationery</t>
        </is>
      </c>
      <c r="E237" s="16" t="inlineStr">
        <is>
          <t>South</t>
        </is>
      </c>
      <c r="F237" s="16" t="inlineStr">
        <is>
          <t>Online</t>
        </is>
      </c>
      <c r="G237" s="16" t="n">
        <v>4</v>
      </c>
      <c r="H237" s="18" t="n">
        <v>383.81</v>
      </c>
      <c r="I237" s="19" t="n">
        <v>0</v>
      </c>
      <c r="J237" s="18" t="n">
        <v>1535.24</v>
      </c>
      <c r="K237" s="18" t="n">
        <v>1062.28</v>
      </c>
      <c r="L237" s="18" t="n">
        <v>472.96</v>
      </c>
    </row>
    <row r="238">
      <c r="A238" s="16" t="inlineStr">
        <is>
          <t>ORD0038</t>
        </is>
      </c>
      <c r="B238" s="17" t="n">
        <v>45857</v>
      </c>
      <c r="C238" s="16" t="inlineStr">
        <is>
          <t>Storage Box</t>
        </is>
      </c>
      <c r="D238" s="16" t="inlineStr">
        <is>
          <t>Home &amp; Kitchen</t>
        </is>
      </c>
      <c r="E238" s="16" t="inlineStr">
        <is>
          <t>West</t>
        </is>
      </c>
      <c r="F238" s="16" t="inlineStr">
        <is>
          <t>Store</t>
        </is>
      </c>
      <c r="G238" s="16" t="n">
        <v>3</v>
      </c>
      <c r="H238" s="18" t="n">
        <v>691.71</v>
      </c>
      <c r="I238" s="19" t="n">
        <v>0.05</v>
      </c>
      <c r="J238" s="18" t="n">
        <v>1971.37</v>
      </c>
      <c r="K238" s="18" t="n">
        <v>1485.89</v>
      </c>
      <c r="L238" s="18" t="n">
        <v>485.48</v>
      </c>
    </row>
    <row r="239">
      <c r="A239" s="16" t="inlineStr">
        <is>
          <t>ORD0125</t>
        </is>
      </c>
      <c r="B239" s="17" t="n">
        <v>45859</v>
      </c>
      <c r="C239" s="16" t="inlineStr">
        <is>
          <t>Lunch Box</t>
        </is>
      </c>
      <c r="D239" s="16" t="inlineStr">
        <is>
          <t>Home &amp; Kitchen</t>
        </is>
      </c>
      <c r="E239" s="16" t="inlineStr">
        <is>
          <t>West</t>
        </is>
      </c>
      <c r="F239" s="16" t="inlineStr">
        <is>
          <t>Store</t>
        </is>
      </c>
      <c r="G239" s="16" t="n">
        <v>4</v>
      </c>
      <c r="H239" s="18" t="n">
        <v>627.25</v>
      </c>
      <c r="I239" s="19" t="n">
        <v>0</v>
      </c>
      <c r="J239" s="18" t="n">
        <v>2509</v>
      </c>
      <c r="K239" s="18" t="n">
        <v>1819.14</v>
      </c>
      <c r="L239" s="18" t="n">
        <v>689.86</v>
      </c>
    </row>
    <row r="240">
      <c r="A240" s="16" t="inlineStr">
        <is>
          <t>ORD0135</t>
        </is>
      </c>
      <c r="B240" s="17" t="n">
        <v>45861</v>
      </c>
      <c r="C240" s="16" t="inlineStr">
        <is>
          <t>Mouse</t>
        </is>
      </c>
      <c r="D240" s="16" t="inlineStr">
        <is>
          <t>Electronics</t>
        </is>
      </c>
      <c r="E240" s="16" t="inlineStr">
        <is>
          <t>West</t>
        </is>
      </c>
      <c r="F240" s="16" t="inlineStr">
        <is>
          <t>Store</t>
        </is>
      </c>
      <c r="G240" s="16" t="n">
        <v>2</v>
      </c>
      <c r="H240" s="18" t="n">
        <v>695.65</v>
      </c>
      <c r="I240" s="19" t="n">
        <v>0.1</v>
      </c>
      <c r="J240" s="18" t="n">
        <v>1252.17</v>
      </c>
      <c r="K240" s="18" t="n">
        <v>933.75</v>
      </c>
      <c r="L240" s="18" t="n">
        <v>318.42</v>
      </c>
    </row>
    <row r="241">
      <c r="A241" s="16" t="inlineStr">
        <is>
          <t>ORD0159</t>
        </is>
      </c>
      <c r="B241" s="17" t="n">
        <v>45864</v>
      </c>
      <c r="C241" s="16" t="inlineStr">
        <is>
          <t>Cap</t>
        </is>
      </c>
      <c r="D241" s="16" t="inlineStr">
        <is>
          <t>Fashion</t>
        </is>
      </c>
      <c r="E241" s="16" t="inlineStr">
        <is>
          <t>East</t>
        </is>
      </c>
      <c r="F241" s="16" t="inlineStr">
        <is>
          <t>Wholesale</t>
        </is>
      </c>
      <c r="G241" s="16" t="n">
        <v>3</v>
      </c>
      <c r="H241" s="18" t="n">
        <v>379.59</v>
      </c>
      <c r="I241" s="19" t="n">
        <v>0.15</v>
      </c>
      <c r="J241" s="18" t="n">
        <v>967.95</v>
      </c>
      <c r="K241" s="18" t="n">
        <v>526.85</v>
      </c>
      <c r="L241" s="18" t="n">
        <v>441.1</v>
      </c>
    </row>
    <row r="242">
      <c r="A242" s="16" t="inlineStr">
        <is>
          <t>ORD0235</t>
        </is>
      </c>
      <c r="B242" s="17" t="n">
        <v>45869</v>
      </c>
      <c r="C242" s="16" t="inlineStr">
        <is>
          <t>USB Drive</t>
        </is>
      </c>
      <c r="D242" s="16" t="inlineStr">
        <is>
          <t>Electronics</t>
        </is>
      </c>
      <c r="E242" s="16" t="inlineStr">
        <is>
          <t>West</t>
        </is>
      </c>
      <c r="F242" s="16" t="inlineStr">
        <is>
          <t>Wholesale</t>
        </is>
      </c>
      <c r="G242" s="16" t="n">
        <v>5</v>
      </c>
      <c r="H242" s="18" t="n">
        <v>606.73</v>
      </c>
      <c r="I242" s="19" t="n">
        <v>0.1</v>
      </c>
      <c r="J242" s="18" t="n">
        <v>2730.29</v>
      </c>
      <c r="K242" s="18" t="n">
        <v>1600.38</v>
      </c>
      <c r="L242" s="18" t="n">
        <v>1129.91</v>
      </c>
    </row>
    <row r="243">
      <c r="A243" s="16" t="inlineStr">
        <is>
          <t>ORD0062</t>
        </is>
      </c>
      <c r="B243" s="17" t="n">
        <v>45869</v>
      </c>
      <c r="C243" s="16" t="inlineStr">
        <is>
          <t>Headphones</t>
        </is>
      </c>
      <c r="D243" s="16" t="inlineStr">
        <is>
          <t>Electronics</t>
        </is>
      </c>
      <c r="E243" s="16" t="inlineStr">
        <is>
          <t>South</t>
        </is>
      </c>
      <c r="F243" s="16" t="inlineStr">
        <is>
          <t>Store</t>
        </is>
      </c>
      <c r="G243" s="16" t="n">
        <v>7</v>
      </c>
      <c r="H243" s="18" t="n">
        <v>1076.99</v>
      </c>
      <c r="I243" s="19" t="n">
        <v>0.1</v>
      </c>
      <c r="J243" s="18" t="n">
        <v>6785.04</v>
      </c>
      <c r="K243" s="18" t="n">
        <v>3848.81</v>
      </c>
      <c r="L243" s="18" t="n">
        <v>2936.23</v>
      </c>
    </row>
    <row r="244">
      <c r="A244" s="16" t="inlineStr">
        <is>
          <t>ORD0151</t>
        </is>
      </c>
      <c r="B244" s="17" t="n">
        <v>45870</v>
      </c>
      <c r="C244" s="16" t="inlineStr">
        <is>
          <t>Planner</t>
        </is>
      </c>
      <c r="D244" s="16" t="inlineStr">
        <is>
          <t>Stationery</t>
        </is>
      </c>
      <c r="E244" s="16" t="inlineStr">
        <is>
          <t>South</t>
        </is>
      </c>
      <c r="F244" s="16" t="inlineStr">
        <is>
          <t>Store</t>
        </is>
      </c>
      <c r="G244" s="16" t="n">
        <v>3</v>
      </c>
      <c r="H244" s="18" t="n">
        <v>351.37</v>
      </c>
      <c r="I244" s="19" t="n">
        <v>0.1</v>
      </c>
      <c r="J244" s="18" t="n">
        <v>948.7</v>
      </c>
      <c r="K244" s="18" t="n">
        <v>602.4</v>
      </c>
      <c r="L244" s="18" t="n">
        <v>346.3</v>
      </c>
    </row>
    <row r="245">
      <c r="A245" s="16" t="inlineStr">
        <is>
          <t>ORD0088</t>
        </is>
      </c>
      <c r="B245" s="17" t="n">
        <v>45874</v>
      </c>
      <c r="C245" s="16" t="inlineStr">
        <is>
          <t>Markers</t>
        </is>
      </c>
      <c r="D245" s="16" t="inlineStr">
        <is>
          <t>Stationery</t>
        </is>
      </c>
      <c r="E245" s="16" t="inlineStr">
        <is>
          <t>South</t>
        </is>
      </c>
      <c r="F245" s="16" t="inlineStr">
        <is>
          <t>Wholesale</t>
        </is>
      </c>
      <c r="G245" s="16" t="n">
        <v>2</v>
      </c>
      <c r="H245" s="18" t="n">
        <v>223.09</v>
      </c>
      <c r="I245" s="19" t="n">
        <v>0.05</v>
      </c>
      <c r="J245" s="18" t="n">
        <v>423.87</v>
      </c>
      <c r="K245" s="18" t="n">
        <v>297.53</v>
      </c>
      <c r="L245" s="18" t="n">
        <v>126.34</v>
      </c>
    </row>
    <row r="246">
      <c r="A246" s="16" t="inlineStr">
        <is>
          <t>ORD0174</t>
        </is>
      </c>
      <c r="B246" s="17" t="n">
        <v>45876</v>
      </c>
      <c r="C246" s="16" t="inlineStr">
        <is>
          <t>Backpack</t>
        </is>
      </c>
      <c r="D246" s="16" t="inlineStr">
        <is>
          <t>Fashion</t>
        </is>
      </c>
      <c r="E246" s="16" t="inlineStr">
        <is>
          <t>West</t>
        </is>
      </c>
      <c r="F246" s="16" t="inlineStr">
        <is>
          <t>Store</t>
        </is>
      </c>
      <c r="G246" s="16" t="n">
        <v>2</v>
      </c>
      <c r="H246" s="18" t="n">
        <v>1549.83</v>
      </c>
      <c r="I246" s="19" t="n">
        <v>0.05</v>
      </c>
      <c r="J246" s="18" t="n">
        <v>2944.68</v>
      </c>
      <c r="K246" s="18" t="n">
        <v>1583.05</v>
      </c>
      <c r="L246" s="18" t="n">
        <v>1361.63</v>
      </c>
    </row>
    <row r="247">
      <c r="A247" s="16" t="inlineStr">
        <is>
          <t>ORD0049</t>
        </is>
      </c>
      <c r="B247" s="17" t="n">
        <v>45885</v>
      </c>
      <c r="C247" s="16" t="inlineStr">
        <is>
          <t>Markers</t>
        </is>
      </c>
      <c r="D247" s="16" t="inlineStr">
        <is>
          <t>Stationery</t>
        </is>
      </c>
      <c r="E247" s="16" t="inlineStr">
        <is>
          <t>North</t>
        </is>
      </c>
      <c r="F247" s="16" t="inlineStr">
        <is>
          <t>Wholesale</t>
        </is>
      </c>
      <c r="G247" s="16" t="n">
        <v>8</v>
      </c>
      <c r="H247" s="18" t="n">
        <v>221.05</v>
      </c>
      <c r="I247" s="19" t="n">
        <v>0</v>
      </c>
      <c r="J247" s="18" t="n">
        <v>1768.4</v>
      </c>
      <c r="K247" s="18" t="n">
        <v>1154.6</v>
      </c>
      <c r="L247" s="18" t="n">
        <v>613.8</v>
      </c>
    </row>
    <row r="248">
      <c r="A248" s="16" t="inlineStr">
        <is>
          <t>ORD0044</t>
        </is>
      </c>
      <c r="B248" s="17" t="n">
        <v>45886</v>
      </c>
      <c r="C248" s="16" t="inlineStr">
        <is>
          <t>Notebook Pack</t>
        </is>
      </c>
      <c r="D248" s="16" t="inlineStr">
        <is>
          <t>Stationery</t>
        </is>
      </c>
      <c r="E248" s="16" t="inlineStr">
        <is>
          <t>South</t>
        </is>
      </c>
      <c r="F248" s="16" t="inlineStr">
        <is>
          <t>Store</t>
        </is>
      </c>
      <c r="G248" s="16" t="n">
        <v>2</v>
      </c>
      <c r="H248" s="18" t="n">
        <v>264.7</v>
      </c>
      <c r="I248" s="19" t="n">
        <v>0.05</v>
      </c>
      <c r="J248" s="18" t="n">
        <v>502.93</v>
      </c>
      <c r="K248" s="18" t="n">
        <v>356.79</v>
      </c>
      <c r="L248" s="18" t="n">
        <v>146.14</v>
      </c>
    </row>
    <row r="249">
      <c r="A249" s="16" t="inlineStr">
        <is>
          <t>ORD0158</t>
        </is>
      </c>
      <c r="B249" s="17" t="n">
        <v>45888</v>
      </c>
      <c r="C249" s="16" t="inlineStr">
        <is>
          <t>Desk Lamp</t>
        </is>
      </c>
      <c r="D249" s="16" t="inlineStr">
        <is>
          <t>Home &amp; Kitchen</t>
        </is>
      </c>
      <c r="E249" s="16" t="inlineStr">
        <is>
          <t>West</t>
        </is>
      </c>
      <c r="F249" s="16" t="inlineStr">
        <is>
          <t>Store</t>
        </is>
      </c>
      <c r="G249" s="16" t="n">
        <v>5</v>
      </c>
      <c r="H249" s="18" t="n">
        <v>1664.17</v>
      </c>
      <c r="I249" s="19" t="n">
        <v>0.1</v>
      </c>
      <c r="J249" s="18" t="n">
        <v>7488.77</v>
      </c>
      <c r="K249" s="18" t="n">
        <v>4145.24</v>
      </c>
      <c r="L249" s="18" t="n">
        <v>3343.53</v>
      </c>
    </row>
    <row r="250">
      <c r="A250" s="16" t="inlineStr">
        <is>
          <t>ORD0234</t>
        </is>
      </c>
      <c r="B250" s="17" t="n">
        <v>45889</v>
      </c>
      <c r="C250" s="16" t="inlineStr">
        <is>
          <t>T-Shirt</t>
        </is>
      </c>
      <c r="D250" s="16" t="inlineStr">
        <is>
          <t>Fashion</t>
        </is>
      </c>
      <c r="E250" s="16" t="inlineStr">
        <is>
          <t>East</t>
        </is>
      </c>
      <c r="F250" s="16" t="inlineStr">
        <is>
          <t>Store</t>
        </is>
      </c>
      <c r="G250" s="16" t="n">
        <v>8</v>
      </c>
      <c r="H250" s="18" t="n">
        <v>679.83</v>
      </c>
      <c r="I250" s="19" t="n">
        <v>0.1</v>
      </c>
      <c r="J250" s="18" t="n">
        <v>4894.78</v>
      </c>
      <c r="K250" s="18" t="n">
        <v>2713.2</v>
      </c>
      <c r="L250" s="18" t="n">
        <v>2181.58</v>
      </c>
    </row>
    <row r="251">
      <c r="A251" s="16" t="inlineStr">
        <is>
          <t>ORD0211</t>
        </is>
      </c>
      <c r="B251" s="17" t="n">
        <v>45889</v>
      </c>
      <c r="C251" s="16" t="inlineStr">
        <is>
          <t>Notebook Pack</t>
        </is>
      </c>
      <c r="D251" s="16" t="inlineStr">
        <is>
          <t>Stationery</t>
        </is>
      </c>
      <c r="E251" s="16" t="inlineStr">
        <is>
          <t>West</t>
        </is>
      </c>
      <c r="F251" s="16" t="inlineStr">
        <is>
          <t>Wholesale</t>
        </is>
      </c>
      <c r="G251" s="16" t="n">
        <v>8</v>
      </c>
      <c r="H251" s="18" t="n">
        <v>235.73</v>
      </c>
      <c r="I251" s="19" t="n">
        <v>0.15</v>
      </c>
      <c r="J251" s="18" t="n">
        <v>1602.96</v>
      </c>
      <c r="K251" s="18" t="n">
        <v>1074.28</v>
      </c>
      <c r="L251" s="18" t="n">
        <v>528.6799999999999</v>
      </c>
    </row>
    <row r="252">
      <c r="A252" s="16" t="inlineStr">
        <is>
          <t>ORD0250</t>
        </is>
      </c>
      <c r="B252" s="17" t="n">
        <v>45893</v>
      </c>
      <c r="C252" s="16" t="inlineStr">
        <is>
          <t>Storage Box</t>
        </is>
      </c>
      <c r="D252" s="16" t="inlineStr">
        <is>
          <t>Home &amp; Kitchen</t>
        </is>
      </c>
      <c r="E252" s="16" t="inlineStr">
        <is>
          <t>West</t>
        </is>
      </c>
      <c r="F252" s="16" t="inlineStr">
        <is>
          <t>Online</t>
        </is>
      </c>
      <c r="G252" s="16" t="n">
        <v>4</v>
      </c>
      <c r="H252" s="18" t="n">
        <v>923.45</v>
      </c>
      <c r="I252" s="19" t="n">
        <v>0.05</v>
      </c>
      <c r="J252" s="18" t="n">
        <v>3509.11</v>
      </c>
      <c r="K252" s="18" t="n">
        <v>2101.36</v>
      </c>
      <c r="L252" s="18" t="n">
        <v>1407.75</v>
      </c>
    </row>
    <row r="253">
      <c r="A253" s="16" t="inlineStr">
        <is>
          <t>ORD0127</t>
        </is>
      </c>
      <c r="B253" s="17" t="n">
        <v>45894</v>
      </c>
      <c r="C253" s="16" t="inlineStr">
        <is>
          <t>Notebook Pack</t>
        </is>
      </c>
      <c r="D253" s="16" t="inlineStr">
        <is>
          <t>Stationery</t>
        </is>
      </c>
      <c r="E253" s="16" t="inlineStr">
        <is>
          <t>West</t>
        </is>
      </c>
      <c r="F253" s="16" t="inlineStr">
        <is>
          <t>Wholesale</t>
        </is>
      </c>
      <c r="G253" s="16" t="n">
        <v>3</v>
      </c>
      <c r="H253" s="18" t="n">
        <v>235.72</v>
      </c>
      <c r="I253" s="19" t="n">
        <v>0</v>
      </c>
      <c r="J253" s="18" t="n">
        <v>707.16</v>
      </c>
      <c r="K253" s="18" t="n">
        <v>504.1</v>
      </c>
      <c r="L253" s="18" t="n">
        <v>203.06</v>
      </c>
    </row>
    <row r="254">
      <c r="A254" s="16" t="inlineStr">
        <is>
          <t>ORD0152</t>
        </is>
      </c>
      <c r="B254" s="17" t="n">
        <v>45897</v>
      </c>
      <c r="C254" s="16" t="inlineStr">
        <is>
          <t>Mouse</t>
        </is>
      </c>
      <c r="D254" s="16" t="inlineStr">
        <is>
          <t>Electronics</t>
        </is>
      </c>
      <c r="E254" s="16" t="inlineStr">
        <is>
          <t>South</t>
        </is>
      </c>
      <c r="F254" s="16" t="inlineStr">
        <is>
          <t>Store</t>
        </is>
      </c>
      <c r="G254" s="16" t="n">
        <v>2</v>
      </c>
      <c r="H254" s="18" t="n">
        <v>671.05</v>
      </c>
      <c r="I254" s="19" t="n">
        <v>0.1</v>
      </c>
      <c r="J254" s="18" t="n">
        <v>1207.89</v>
      </c>
      <c r="K254" s="18" t="n">
        <v>639.91</v>
      </c>
      <c r="L254" s="18" t="n">
        <v>567.98</v>
      </c>
    </row>
    <row r="255">
      <c r="A255" s="16" t="inlineStr">
        <is>
          <t>ORD0291</t>
        </is>
      </c>
      <c r="B255" s="17" t="n">
        <v>45898</v>
      </c>
      <c r="C255" s="16" t="inlineStr">
        <is>
          <t>Wallet</t>
        </is>
      </c>
      <c r="D255" s="16" t="inlineStr">
        <is>
          <t>Fashion</t>
        </is>
      </c>
      <c r="E255" s="16" t="inlineStr">
        <is>
          <t>West</t>
        </is>
      </c>
      <c r="F255" s="16" t="inlineStr">
        <is>
          <t>Wholesale</t>
        </is>
      </c>
      <c r="G255" s="16" t="n">
        <v>1</v>
      </c>
      <c r="H255" s="18" t="n">
        <v>822.49</v>
      </c>
      <c r="I255" s="19" t="n">
        <v>0</v>
      </c>
      <c r="J255" s="18" t="n">
        <v>822.49</v>
      </c>
      <c r="K255" s="18" t="n">
        <v>487.22</v>
      </c>
      <c r="L255" s="18" t="n">
        <v>335.27</v>
      </c>
    </row>
    <row r="256">
      <c r="A256" s="16" t="inlineStr">
        <is>
          <t>ORD0068</t>
        </is>
      </c>
      <c r="B256" s="17" t="n">
        <v>45898</v>
      </c>
      <c r="C256" s="16" t="inlineStr">
        <is>
          <t>Water Bottle</t>
        </is>
      </c>
      <c r="D256" s="16" t="inlineStr">
        <is>
          <t>Home &amp; Kitchen</t>
        </is>
      </c>
      <c r="E256" s="16" t="inlineStr">
        <is>
          <t>West</t>
        </is>
      </c>
      <c r="F256" s="16" t="inlineStr">
        <is>
          <t>Store</t>
        </is>
      </c>
      <c r="G256" s="16" t="n">
        <v>5</v>
      </c>
      <c r="H256" s="18" t="n">
        <v>516.42</v>
      </c>
      <c r="I256" s="19" t="n">
        <v>0.15</v>
      </c>
      <c r="J256" s="18" t="n">
        <v>2194.78</v>
      </c>
      <c r="K256" s="18" t="n">
        <v>1600.95</v>
      </c>
      <c r="L256" s="18" t="n">
        <v>593.83</v>
      </c>
    </row>
    <row r="257">
      <c r="A257" s="16" t="inlineStr">
        <is>
          <t>ORD0242</t>
        </is>
      </c>
      <c r="B257" s="17" t="n">
        <v>45904</v>
      </c>
      <c r="C257" s="16" t="inlineStr">
        <is>
          <t>Keyboard</t>
        </is>
      </c>
      <c r="D257" s="16" t="inlineStr">
        <is>
          <t>Electronics</t>
        </is>
      </c>
      <c r="E257" s="16" t="inlineStr">
        <is>
          <t>West</t>
        </is>
      </c>
      <c r="F257" s="16" t="inlineStr">
        <is>
          <t>Online</t>
        </is>
      </c>
      <c r="G257" s="16" t="n">
        <v>1</v>
      </c>
      <c r="H257" s="18" t="n">
        <v>1783.43</v>
      </c>
      <c r="I257" s="19" t="n">
        <v>0</v>
      </c>
      <c r="J257" s="18" t="n">
        <v>1783.43</v>
      </c>
      <c r="K257" s="18" t="n">
        <v>1177.67</v>
      </c>
      <c r="L257" s="18" t="n">
        <v>605.76</v>
      </c>
    </row>
    <row r="258">
      <c r="A258" s="16" t="inlineStr">
        <is>
          <t>ORD0136</t>
        </is>
      </c>
      <c r="B258" s="17" t="n">
        <v>45906</v>
      </c>
      <c r="C258" s="16" t="inlineStr">
        <is>
          <t>Planner</t>
        </is>
      </c>
      <c r="D258" s="16" t="inlineStr">
        <is>
          <t>Stationery</t>
        </is>
      </c>
      <c r="E258" s="16" t="inlineStr">
        <is>
          <t>East</t>
        </is>
      </c>
      <c r="F258" s="16" t="inlineStr">
        <is>
          <t>Online</t>
        </is>
      </c>
      <c r="G258" s="16" t="n">
        <v>2</v>
      </c>
      <c r="H258" s="18" t="n">
        <v>368.3</v>
      </c>
      <c r="I258" s="19" t="n">
        <v>0</v>
      </c>
      <c r="J258" s="18" t="n">
        <v>736.6</v>
      </c>
      <c r="K258" s="18" t="n">
        <v>412.67</v>
      </c>
      <c r="L258" s="18" t="n">
        <v>323.93</v>
      </c>
    </row>
    <row r="259">
      <c r="A259" s="16" t="inlineStr">
        <is>
          <t>ORD0166</t>
        </is>
      </c>
      <c r="B259" s="17" t="n">
        <v>45911</v>
      </c>
      <c r="C259" s="16" t="inlineStr">
        <is>
          <t>Desk Lamp</t>
        </is>
      </c>
      <c r="D259" s="16" t="inlineStr">
        <is>
          <t>Home &amp; Kitchen</t>
        </is>
      </c>
      <c r="E259" s="16" t="inlineStr">
        <is>
          <t>West</t>
        </is>
      </c>
      <c r="F259" s="16" t="inlineStr">
        <is>
          <t>Wholesale</t>
        </is>
      </c>
      <c r="G259" s="16" t="n">
        <v>1</v>
      </c>
      <c r="H259" s="18" t="n">
        <v>1504.18</v>
      </c>
      <c r="I259" s="19" t="n">
        <v>0.05</v>
      </c>
      <c r="J259" s="18" t="n">
        <v>1428.97</v>
      </c>
      <c r="K259" s="18" t="n">
        <v>949.09</v>
      </c>
      <c r="L259" s="18" t="n">
        <v>479.88</v>
      </c>
    </row>
    <row r="260">
      <c r="A260" s="16" t="inlineStr">
        <is>
          <t>ORD0154</t>
        </is>
      </c>
      <c r="B260" s="17" t="n">
        <v>45911</v>
      </c>
      <c r="C260" s="16" t="inlineStr">
        <is>
          <t>Backpack</t>
        </is>
      </c>
      <c r="D260" s="16" t="inlineStr">
        <is>
          <t>Fashion</t>
        </is>
      </c>
      <c r="E260" s="16" t="inlineStr">
        <is>
          <t>West</t>
        </is>
      </c>
      <c r="F260" s="16" t="inlineStr">
        <is>
          <t>Wholesale</t>
        </is>
      </c>
      <c r="G260" s="16" t="n">
        <v>1</v>
      </c>
      <c r="H260" s="18" t="n">
        <v>1511.52</v>
      </c>
      <c r="I260" s="19" t="n">
        <v>0.05</v>
      </c>
      <c r="J260" s="18" t="n">
        <v>1435.94</v>
      </c>
      <c r="K260" s="18" t="n">
        <v>1113.46</v>
      </c>
      <c r="L260" s="18" t="n">
        <v>322.48</v>
      </c>
    </row>
    <row r="261">
      <c r="A261" s="16" t="inlineStr">
        <is>
          <t>ORD0045</t>
        </is>
      </c>
      <c r="B261" s="17" t="n">
        <v>45912</v>
      </c>
      <c r="C261" s="16" t="inlineStr">
        <is>
          <t>USB Drive</t>
        </is>
      </c>
      <c r="D261" s="16" t="inlineStr">
        <is>
          <t>Electronics</t>
        </is>
      </c>
      <c r="E261" s="16" t="inlineStr">
        <is>
          <t>North</t>
        </is>
      </c>
      <c r="F261" s="16" t="inlineStr">
        <is>
          <t>Store</t>
        </is>
      </c>
      <c r="G261" s="16" t="n">
        <v>4</v>
      </c>
      <c r="H261" s="18" t="n">
        <v>516.53</v>
      </c>
      <c r="I261" s="19" t="n">
        <v>0.1</v>
      </c>
      <c r="J261" s="18" t="n">
        <v>1859.51</v>
      </c>
      <c r="K261" s="18" t="n">
        <v>967.76</v>
      </c>
      <c r="L261" s="18" t="n">
        <v>891.75</v>
      </c>
    </row>
    <row r="262">
      <c r="A262" s="16" t="inlineStr">
        <is>
          <t>ORD0231</t>
        </is>
      </c>
      <c r="B262" s="17" t="n">
        <v>45912</v>
      </c>
      <c r="C262" s="16" t="inlineStr">
        <is>
          <t>Markers</t>
        </is>
      </c>
      <c r="D262" s="16" t="inlineStr">
        <is>
          <t>Stationery</t>
        </is>
      </c>
      <c r="E262" s="16" t="inlineStr">
        <is>
          <t>West</t>
        </is>
      </c>
      <c r="F262" s="16" t="inlineStr">
        <is>
          <t>Wholesale</t>
        </is>
      </c>
      <c r="G262" s="16" t="n">
        <v>8</v>
      </c>
      <c r="H262" s="18" t="n">
        <v>245.32</v>
      </c>
      <c r="I262" s="19" t="n">
        <v>0</v>
      </c>
      <c r="J262" s="18" t="n">
        <v>1962.56</v>
      </c>
      <c r="K262" s="18" t="n">
        <v>1409.28</v>
      </c>
      <c r="L262" s="18" t="n">
        <v>553.28</v>
      </c>
    </row>
    <row r="263">
      <c r="A263" s="16" t="inlineStr">
        <is>
          <t>ORD0209</t>
        </is>
      </c>
      <c r="B263" s="17" t="n">
        <v>45912</v>
      </c>
      <c r="C263" s="16" t="inlineStr">
        <is>
          <t>Desk Lamp</t>
        </is>
      </c>
      <c r="D263" s="16" t="inlineStr">
        <is>
          <t>Home &amp; Kitchen</t>
        </is>
      </c>
      <c r="E263" s="16" t="inlineStr">
        <is>
          <t>South</t>
        </is>
      </c>
      <c r="F263" s="16" t="inlineStr">
        <is>
          <t>Wholesale</t>
        </is>
      </c>
      <c r="G263" s="16" t="n">
        <v>6</v>
      </c>
      <c r="H263" s="18" t="n">
        <v>1269.63</v>
      </c>
      <c r="I263" s="19" t="n">
        <v>0.15</v>
      </c>
      <c r="J263" s="18" t="n">
        <v>6475.11</v>
      </c>
      <c r="K263" s="18" t="n">
        <v>4611.72</v>
      </c>
      <c r="L263" s="18" t="n">
        <v>1863.39</v>
      </c>
    </row>
    <row r="264">
      <c r="A264" s="16" t="inlineStr">
        <is>
          <t>ORD0171</t>
        </is>
      </c>
      <c r="B264" s="17" t="n">
        <v>45922</v>
      </c>
      <c r="C264" s="16" t="inlineStr">
        <is>
          <t>Headphones</t>
        </is>
      </c>
      <c r="D264" s="16" t="inlineStr">
        <is>
          <t>Electronics</t>
        </is>
      </c>
      <c r="E264" s="16" t="inlineStr">
        <is>
          <t>East</t>
        </is>
      </c>
      <c r="F264" s="16" t="inlineStr">
        <is>
          <t>Online</t>
        </is>
      </c>
      <c r="G264" s="16" t="n">
        <v>1</v>
      </c>
      <c r="H264" s="18" t="n">
        <v>1127.49</v>
      </c>
      <c r="I264" s="19" t="n">
        <v>0</v>
      </c>
      <c r="J264" s="18" t="n">
        <v>1127.49</v>
      </c>
      <c r="K264" s="18" t="n">
        <v>747.1799999999999</v>
      </c>
      <c r="L264" s="18" t="n">
        <v>380.31</v>
      </c>
    </row>
    <row r="265">
      <c r="A265" s="16" t="inlineStr">
        <is>
          <t>ORD0202</t>
        </is>
      </c>
      <c r="B265" s="17" t="n">
        <v>45922</v>
      </c>
      <c r="C265" s="16" t="inlineStr">
        <is>
          <t>Backpack</t>
        </is>
      </c>
      <c r="D265" s="16" t="inlineStr">
        <is>
          <t>Fashion</t>
        </is>
      </c>
      <c r="E265" s="16" t="inlineStr">
        <is>
          <t>North</t>
        </is>
      </c>
      <c r="F265" s="16" t="inlineStr">
        <is>
          <t>Online</t>
        </is>
      </c>
      <c r="G265" s="16" t="n">
        <v>3</v>
      </c>
      <c r="H265" s="18" t="n">
        <v>1702.08</v>
      </c>
      <c r="I265" s="19" t="n">
        <v>0.15</v>
      </c>
      <c r="J265" s="18" t="n">
        <v>4340.3</v>
      </c>
      <c r="K265" s="18" t="n">
        <v>3070.73</v>
      </c>
      <c r="L265" s="18" t="n">
        <v>1269.57</v>
      </c>
    </row>
    <row r="266">
      <c r="A266" s="16" t="inlineStr">
        <is>
          <t>ORD0147</t>
        </is>
      </c>
      <c r="B266" s="17" t="n">
        <v>45924</v>
      </c>
      <c r="C266" s="16" t="inlineStr">
        <is>
          <t>Cap</t>
        </is>
      </c>
      <c r="D266" s="16" t="inlineStr">
        <is>
          <t>Fashion</t>
        </is>
      </c>
      <c r="E266" s="16" t="inlineStr">
        <is>
          <t>East</t>
        </is>
      </c>
      <c r="F266" s="16" t="inlineStr">
        <is>
          <t>Wholesale</t>
        </is>
      </c>
      <c r="G266" s="16" t="n">
        <v>2</v>
      </c>
      <c r="H266" s="18" t="n">
        <v>351</v>
      </c>
      <c r="I266" s="19" t="n">
        <v>0</v>
      </c>
      <c r="J266" s="18" t="n">
        <v>702</v>
      </c>
      <c r="K266" s="18" t="n">
        <v>409.45</v>
      </c>
      <c r="L266" s="18" t="n">
        <v>292.55</v>
      </c>
    </row>
    <row r="267">
      <c r="A267" s="16" t="inlineStr">
        <is>
          <t>ORD0138</t>
        </is>
      </c>
      <c r="B267" s="17" t="n">
        <v>45928</v>
      </c>
      <c r="C267" s="16" t="inlineStr">
        <is>
          <t>Mouse</t>
        </is>
      </c>
      <c r="D267" s="16" t="inlineStr">
        <is>
          <t>Electronics</t>
        </is>
      </c>
      <c r="E267" s="16" t="inlineStr">
        <is>
          <t>South</t>
        </is>
      </c>
      <c r="F267" s="16" t="inlineStr">
        <is>
          <t>Online</t>
        </is>
      </c>
      <c r="G267" s="16" t="n">
        <v>1</v>
      </c>
      <c r="H267" s="18" t="n">
        <v>639.2</v>
      </c>
      <c r="I267" s="19" t="n">
        <v>0.05</v>
      </c>
      <c r="J267" s="18" t="n">
        <v>607.24</v>
      </c>
      <c r="K267" s="18" t="n">
        <v>461.26</v>
      </c>
      <c r="L267" s="18" t="n">
        <v>145.98</v>
      </c>
    </row>
    <row r="268">
      <c r="A268" s="16" t="inlineStr">
        <is>
          <t>ORD0105</t>
        </is>
      </c>
      <c r="B268" s="17" t="n">
        <v>45933</v>
      </c>
      <c r="C268" s="16" t="inlineStr">
        <is>
          <t>T-Shirt</t>
        </is>
      </c>
      <c r="D268" s="16" t="inlineStr">
        <is>
          <t>Fashion</t>
        </is>
      </c>
      <c r="E268" s="16" t="inlineStr">
        <is>
          <t>West</t>
        </is>
      </c>
      <c r="F268" s="16" t="inlineStr">
        <is>
          <t>Store</t>
        </is>
      </c>
      <c r="G268" s="16" t="n">
        <v>2</v>
      </c>
      <c r="H268" s="18" t="n">
        <v>559.3</v>
      </c>
      <c r="I268" s="19" t="n">
        <v>0.05</v>
      </c>
      <c r="J268" s="18" t="n">
        <v>1062.67</v>
      </c>
      <c r="K268" s="18" t="n">
        <v>828.17</v>
      </c>
      <c r="L268" s="18" t="n">
        <v>234.5</v>
      </c>
    </row>
    <row r="269">
      <c r="A269" s="16" t="inlineStr">
        <is>
          <t>ORD0258</t>
        </is>
      </c>
      <c r="B269" s="17" t="n">
        <v>45937</v>
      </c>
      <c r="C269" s="16" t="inlineStr">
        <is>
          <t>Water Bottle</t>
        </is>
      </c>
      <c r="D269" s="16" t="inlineStr">
        <is>
          <t>Home &amp; Kitchen</t>
        </is>
      </c>
      <c r="E269" s="16" t="inlineStr">
        <is>
          <t>West</t>
        </is>
      </c>
      <c r="F269" s="16" t="inlineStr">
        <is>
          <t>Wholesale</t>
        </is>
      </c>
      <c r="G269" s="16" t="n">
        <v>3</v>
      </c>
      <c r="H269" s="18" t="n">
        <v>383.94</v>
      </c>
      <c r="I269" s="19" t="n">
        <v>0.15</v>
      </c>
      <c r="J269" s="18" t="n">
        <v>979.05</v>
      </c>
      <c r="K269" s="18" t="n">
        <v>625.1799999999999</v>
      </c>
      <c r="L269" s="18" t="n">
        <v>353.87</v>
      </c>
    </row>
    <row r="270">
      <c r="A270" s="16" t="inlineStr">
        <is>
          <t>ORD0296</t>
        </is>
      </c>
      <c r="B270" s="17" t="n">
        <v>45942</v>
      </c>
      <c r="C270" s="16" t="inlineStr">
        <is>
          <t>Lunch Box</t>
        </is>
      </c>
      <c r="D270" s="16" t="inlineStr">
        <is>
          <t>Home &amp; Kitchen</t>
        </is>
      </c>
      <c r="E270" s="16" t="inlineStr">
        <is>
          <t>East</t>
        </is>
      </c>
      <c r="F270" s="16" t="inlineStr">
        <is>
          <t>Wholesale</t>
        </is>
      </c>
      <c r="G270" s="16" t="n">
        <v>8</v>
      </c>
      <c r="H270" s="18" t="n">
        <v>618.21</v>
      </c>
      <c r="I270" s="19" t="n">
        <v>0</v>
      </c>
      <c r="J270" s="18" t="n">
        <v>4945.68</v>
      </c>
      <c r="K270" s="18" t="n">
        <v>2976.26</v>
      </c>
      <c r="L270" s="18" t="n">
        <v>1969.42</v>
      </c>
    </row>
    <row r="271">
      <c r="A271" s="16" t="inlineStr">
        <is>
          <t>ORD0259</t>
        </is>
      </c>
      <c r="B271" s="17" t="n">
        <v>45945</v>
      </c>
      <c r="C271" s="16" t="inlineStr">
        <is>
          <t>Wallet</t>
        </is>
      </c>
      <c r="D271" s="16" t="inlineStr">
        <is>
          <t>Fashion</t>
        </is>
      </c>
      <c r="E271" s="16" t="inlineStr">
        <is>
          <t>West</t>
        </is>
      </c>
      <c r="F271" s="16" t="inlineStr">
        <is>
          <t>Wholesale</t>
        </is>
      </c>
      <c r="G271" s="16" t="n">
        <v>1</v>
      </c>
      <c r="H271" s="18" t="n">
        <v>639.24</v>
      </c>
      <c r="I271" s="19" t="n">
        <v>0.15</v>
      </c>
      <c r="J271" s="18" t="n">
        <v>543.35</v>
      </c>
      <c r="K271" s="18" t="n">
        <v>340.65</v>
      </c>
      <c r="L271" s="18" t="n">
        <v>202.7</v>
      </c>
    </row>
    <row r="272">
      <c r="A272" s="16" t="inlineStr">
        <is>
          <t>ORD0001</t>
        </is>
      </c>
      <c r="B272" s="17" t="n">
        <v>45946</v>
      </c>
      <c r="C272" s="16" t="inlineStr">
        <is>
          <t>Headphones</t>
        </is>
      </c>
      <c r="D272" s="16" t="inlineStr">
        <is>
          <t>Electronics</t>
        </is>
      </c>
      <c r="E272" s="16" t="inlineStr">
        <is>
          <t>West</t>
        </is>
      </c>
      <c r="F272" s="16" t="inlineStr">
        <is>
          <t>Wholesale</t>
        </is>
      </c>
      <c r="G272" s="16" t="n">
        <v>5</v>
      </c>
      <c r="H272" s="18" t="n">
        <v>1122.85</v>
      </c>
      <c r="I272" s="19" t="n">
        <v>0</v>
      </c>
      <c r="J272" s="18" t="n">
        <v>5614.25</v>
      </c>
      <c r="K272" s="18" t="n">
        <v>3994.44</v>
      </c>
      <c r="L272" s="18" t="n">
        <v>1619.81</v>
      </c>
    </row>
    <row r="273">
      <c r="A273" s="16" t="inlineStr">
        <is>
          <t>ORD0293</t>
        </is>
      </c>
      <c r="B273" s="17" t="n">
        <v>45946</v>
      </c>
      <c r="C273" s="16" t="inlineStr">
        <is>
          <t>Markers</t>
        </is>
      </c>
      <c r="D273" s="16" t="inlineStr">
        <is>
          <t>Stationery</t>
        </is>
      </c>
      <c r="E273" s="16" t="inlineStr">
        <is>
          <t>East</t>
        </is>
      </c>
      <c r="F273" s="16" t="inlineStr">
        <is>
          <t>Wholesale</t>
        </is>
      </c>
      <c r="G273" s="16" t="n">
        <v>7</v>
      </c>
      <c r="H273" s="18" t="n">
        <v>232.2</v>
      </c>
      <c r="I273" s="19" t="n">
        <v>0.05</v>
      </c>
      <c r="J273" s="18" t="n">
        <v>1544.13</v>
      </c>
      <c r="K273" s="18" t="n">
        <v>944.26</v>
      </c>
      <c r="L273" s="18" t="n">
        <v>599.87</v>
      </c>
    </row>
    <row r="274">
      <c r="A274" s="16" t="inlineStr">
        <is>
          <t>ORD0009</t>
        </is>
      </c>
      <c r="B274" s="17" t="n">
        <v>45947</v>
      </c>
      <c r="C274" s="16" t="inlineStr">
        <is>
          <t>Desk Lamp</t>
        </is>
      </c>
      <c r="D274" s="16" t="inlineStr">
        <is>
          <t>Home &amp; Kitchen</t>
        </is>
      </c>
      <c r="E274" s="16" t="inlineStr">
        <is>
          <t>East</t>
        </is>
      </c>
      <c r="F274" s="16" t="inlineStr">
        <is>
          <t>Store</t>
        </is>
      </c>
      <c r="G274" s="16" t="n">
        <v>1</v>
      </c>
      <c r="H274" s="18" t="n">
        <v>1302.23</v>
      </c>
      <c r="I274" s="19" t="n">
        <v>0</v>
      </c>
      <c r="J274" s="18" t="n">
        <v>1302.23</v>
      </c>
      <c r="K274" s="18" t="n">
        <v>949.73</v>
      </c>
      <c r="L274" s="18" t="n">
        <v>352.5</v>
      </c>
    </row>
    <row r="275">
      <c r="A275" s="16" t="inlineStr">
        <is>
          <t>ORD0185</t>
        </is>
      </c>
      <c r="B275" s="17" t="n">
        <v>45952</v>
      </c>
      <c r="C275" s="16" t="inlineStr">
        <is>
          <t>Planner</t>
        </is>
      </c>
      <c r="D275" s="16" t="inlineStr">
        <is>
          <t>Stationery</t>
        </is>
      </c>
      <c r="E275" s="16" t="inlineStr">
        <is>
          <t>East</t>
        </is>
      </c>
      <c r="F275" s="16" t="inlineStr">
        <is>
          <t>Store</t>
        </is>
      </c>
      <c r="G275" s="16" t="n">
        <v>7</v>
      </c>
      <c r="H275" s="18" t="n">
        <v>413.81</v>
      </c>
      <c r="I275" s="19" t="n">
        <v>0</v>
      </c>
      <c r="J275" s="18" t="n">
        <v>2896.67</v>
      </c>
      <c r="K275" s="18" t="n">
        <v>1961.99</v>
      </c>
      <c r="L275" s="18" t="n">
        <v>934.6799999999999</v>
      </c>
    </row>
    <row r="276">
      <c r="A276" s="16" t="inlineStr">
        <is>
          <t>ORD0155</t>
        </is>
      </c>
      <c r="B276" s="17" t="n">
        <v>45953</v>
      </c>
      <c r="C276" s="16" t="inlineStr">
        <is>
          <t>Water Bottle</t>
        </is>
      </c>
      <c r="D276" s="16" t="inlineStr">
        <is>
          <t>Home &amp; Kitchen</t>
        </is>
      </c>
      <c r="E276" s="16" t="inlineStr">
        <is>
          <t>North</t>
        </is>
      </c>
      <c r="F276" s="16" t="inlineStr">
        <is>
          <t>Store</t>
        </is>
      </c>
      <c r="G276" s="16" t="n">
        <v>4</v>
      </c>
      <c r="H276" s="18" t="n">
        <v>493.95</v>
      </c>
      <c r="I276" s="19" t="n">
        <v>0.1</v>
      </c>
      <c r="J276" s="18" t="n">
        <v>1778.22</v>
      </c>
      <c r="K276" s="18" t="n">
        <v>1166.97</v>
      </c>
      <c r="L276" s="18" t="n">
        <v>611.25</v>
      </c>
    </row>
    <row r="277">
      <c r="A277" s="16" t="inlineStr">
        <is>
          <t>ORD0003</t>
        </is>
      </c>
      <c r="B277" s="17" t="n">
        <v>45957</v>
      </c>
      <c r="C277" s="16" t="inlineStr">
        <is>
          <t>Backpack</t>
        </is>
      </c>
      <c r="D277" s="16" t="inlineStr">
        <is>
          <t>Fashion</t>
        </is>
      </c>
      <c r="E277" s="16" t="inlineStr">
        <is>
          <t>North</t>
        </is>
      </c>
      <c r="F277" s="16" t="inlineStr">
        <is>
          <t>Wholesale</t>
        </is>
      </c>
      <c r="G277" s="16" t="n">
        <v>8</v>
      </c>
      <c r="H277" s="18" t="n">
        <v>1584.36</v>
      </c>
      <c r="I277" s="19" t="n">
        <v>0</v>
      </c>
      <c r="J277" s="18" t="n">
        <v>12674.88</v>
      </c>
      <c r="K277" s="18" t="n">
        <v>9091.559999999999</v>
      </c>
      <c r="L277" s="18" t="n">
        <v>3583.32</v>
      </c>
    </row>
    <row r="278">
      <c r="A278" s="16" t="inlineStr">
        <is>
          <t>ORD0132</t>
        </is>
      </c>
      <c r="B278" s="17" t="n">
        <v>45958</v>
      </c>
      <c r="C278" s="16" t="inlineStr">
        <is>
          <t>Storage Box</t>
        </is>
      </c>
      <c r="D278" s="16" t="inlineStr">
        <is>
          <t>Home &amp; Kitchen</t>
        </is>
      </c>
      <c r="E278" s="16" t="inlineStr">
        <is>
          <t>East</t>
        </is>
      </c>
      <c r="F278" s="16" t="inlineStr">
        <is>
          <t>Store</t>
        </is>
      </c>
      <c r="G278" s="16" t="n">
        <v>8</v>
      </c>
      <c r="H278" s="18" t="n">
        <v>928.67</v>
      </c>
      <c r="I278" s="19" t="n">
        <v>0.1</v>
      </c>
      <c r="J278" s="18" t="n">
        <v>6686.42</v>
      </c>
      <c r="K278" s="18" t="n">
        <v>4066.16</v>
      </c>
      <c r="L278" s="18" t="n">
        <v>2620.26</v>
      </c>
    </row>
    <row r="279">
      <c r="A279" s="16" t="inlineStr">
        <is>
          <t>ORD0112</t>
        </is>
      </c>
      <c r="B279" s="17" t="n">
        <v>45966</v>
      </c>
      <c r="C279" s="16" t="inlineStr">
        <is>
          <t>Cap</t>
        </is>
      </c>
      <c r="D279" s="16" t="inlineStr">
        <is>
          <t>Fashion</t>
        </is>
      </c>
      <c r="E279" s="16" t="inlineStr">
        <is>
          <t>East</t>
        </is>
      </c>
      <c r="F279" s="16" t="inlineStr">
        <is>
          <t>Store</t>
        </is>
      </c>
      <c r="G279" s="16" t="n">
        <v>1</v>
      </c>
      <c r="H279" s="18" t="n">
        <v>366.83</v>
      </c>
      <c r="I279" s="19" t="n">
        <v>0</v>
      </c>
      <c r="J279" s="18" t="n">
        <v>366.83</v>
      </c>
      <c r="K279" s="18" t="n">
        <v>277.6</v>
      </c>
      <c r="L279" s="18" t="n">
        <v>89.23</v>
      </c>
    </row>
    <row r="280">
      <c r="A280" s="16" t="inlineStr">
        <is>
          <t>ORD0124</t>
        </is>
      </c>
      <c r="B280" s="17" t="n">
        <v>45970</v>
      </c>
      <c r="C280" s="16" t="inlineStr">
        <is>
          <t>Water Bottle</t>
        </is>
      </c>
      <c r="D280" s="16" t="inlineStr">
        <is>
          <t>Home &amp; Kitchen</t>
        </is>
      </c>
      <c r="E280" s="16" t="inlineStr">
        <is>
          <t>North</t>
        </is>
      </c>
      <c r="F280" s="16" t="inlineStr">
        <is>
          <t>Online</t>
        </is>
      </c>
      <c r="G280" s="16" t="n">
        <v>1</v>
      </c>
      <c r="H280" s="18" t="n">
        <v>506.42</v>
      </c>
      <c r="I280" s="19" t="n">
        <v>0</v>
      </c>
      <c r="J280" s="18" t="n">
        <v>506.42</v>
      </c>
      <c r="K280" s="18" t="n">
        <v>393.54</v>
      </c>
      <c r="L280" s="18" t="n">
        <v>112.88</v>
      </c>
    </row>
    <row r="281">
      <c r="A281" s="16" t="inlineStr">
        <is>
          <t>ORD0076</t>
        </is>
      </c>
      <c r="B281" s="17" t="n">
        <v>45971</v>
      </c>
      <c r="C281" s="16" t="inlineStr">
        <is>
          <t>Markers</t>
        </is>
      </c>
      <c r="D281" s="16" t="inlineStr">
        <is>
          <t>Stationery</t>
        </is>
      </c>
      <c r="E281" s="16" t="inlineStr">
        <is>
          <t>East</t>
        </is>
      </c>
      <c r="F281" s="16" t="inlineStr">
        <is>
          <t>Store</t>
        </is>
      </c>
      <c r="G281" s="16" t="n">
        <v>6</v>
      </c>
      <c r="H281" s="18" t="n">
        <v>219.76</v>
      </c>
      <c r="I281" s="19" t="n">
        <v>0.15</v>
      </c>
      <c r="J281" s="18" t="n">
        <v>1120.78</v>
      </c>
      <c r="K281" s="18" t="n">
        <v>679.2</v>
      </c>
      <c r="L281" s="18" t="n">
        <v>441.58</v>
      </c>
    </row>
    <row r="282">
      <c r="A282" s="16" t="inlineStr">
        <is>
          <t>ORD0143</t>
        </is>
      </c>
      <c r="B282" s="17" t="n">
        <v>45975</v>
      </c>
      <c r="C282" s="16" t="inlineStr">
        <is>
          <t>Notebook Pack</t>
        </is>
      </c>
      <c r="D282" s="16" t="inlineStr">
        <is>
          <t>Stationery</t>
        </is>
      </c>
      <c r="E282" s="16" t="inlineStr">
        <is>
          <t>North</t>
        </is>
      </c>
      <c r="F282" s="16" t="inlineStr">
        <is>
          <t>Store</t>
        </is>
      </c>
      <c r="G282" s="16" t="n">
        <v>4</v>
      </c>
      <c r="H282" s="18" t="n">
        <v>247.09</v>
      </c>
      <c r="I282" s="19" t="n">
        <v>0.15</v>
      </c>
      <c r="J282" s="18" t="n">
        <v>840.11</v>
      </c>
      <c r="K282" s="18" t="n">
        <v>448.82</v>
      </c>
      <c r="L282" s="18" t="n">
        <v>391.29</v>
      </c>
    </row>
    <row r="283">
      <c r="A283" s="16" t="inlineStr">
        <is>
          <t>ORD0066</t>
        </is>
      </c>
      <c r="B283" s="17" t="n">
        <v>45977</v>
      </c>
      <c r="C283" s="16" t="inlineStr">
        <is>
          <t>Keyboard</t>
        </is>
      </c>
      <c r="D283" s="16" t="inlineStr">
        <is>
          <t>Electronics</t>
        </is>
      </c>
      <c r="E283" s="16" t="inlineStr">
        <is>
          <t>West</t>
        </is>
      </c>
      <c r="F283" s="16" t="inlineStr">
        <is>
          <t>Online</t>
        </is>
      </c>
      <c r="G283" s="16" t="n">
        <v>8</v>
      </c>
      <c r="H283" s="18" t="n">
        <v>1970.66</v>
      </c>
      <c r="I283" s="19" t="n">
        <v>0.05</v>
      </c>
      <c r="J283" s="18" t="n">
        <v>14977.02</v>
      </c>
      <c r="K283" s="18" t="n">
        <v>8441.43</v>
      </c>
      <c r="L283" s="18" t="n">
        <v>6535.59</v>
      </c>
    </row>
    <row r="284">
      <c r="A284" s="16" t="inlineStr">
        <is>
          <t>ORD0008</t>
        </is>
      </c>
      <c r="B284" s="17" t="n">
        <v>45978</v>
      </c>
      <c r="C284" s="16" t="inlineStr">
        <is>
          <t>Notebook Pack</t>
        </is>
      </c>
      <c r="D284" s="16" t="inlineStr">
        <is>
          <t>Stationery</t>
        </is>
      </c>
      <c r="E284" s="16" t="inlineStr">
        <is>
          <t>East</t>
        </is>
      </c>
      <c r="F284" s="16" t="inlineStr">
        <is>
          <t>Store</t>
        </is>
      </c>
      <c r="G284" s="16" t="n">
        <v>3</v>
      </c>
      <c r="H284" s="18" t="n">
        <v>259.24</v>
      </c>
      <c r="I284" s="19" t="n">
        <v>0</v>
      </c>
      <c r="J284" s="18" t="n">
        <v>777.72</v>
      </c>
      <c r="K284" s="18" t="n">
        <v>437.46</v>
      </c>
      <c r="L284" s="18" t="n">
        <v>340.26</v>
      </c>
    </row>
    <row r="285">
      <c r="A285" s="16" t="inlineStr">
        <is>
          <t>ORD0031</t>
        </is>
      </c>
      <c r="B285" s="17" t="n">
        <v>45979</v>
      </c>
      <c r="C285" s="16" t="inlineStr">
        <is>
          <t>Markers</t>
        </is>
      </c>
      <c r="D285" s="16" t="inlineStr">
        <is>
          <t>Stationery</t>
        </is>
      </c>
      <c r="E285" s="16" t="inlineStr">
        <is>
          <t>West</t>
        </is>
      </c>
      <c r="F285" s="16" t="inlineStr">
        <is>
          <t>Online</t>
        </is>
      </c>
      <c r="G285" s="16" t="n">
        <v>6</v>
      </c>
      <c r="H285" s="18" t="n">
        <v>258.53</v>
      </c>
      <c r="I285" s="19" t="n">
        <v>0</v>
      </c>
      <c r="J285" s="18" t="n">
        <v>1551.18</v>
      </c>
      <c r="K285" s="18" t="n">
        <v>810.37</v>
      </c>
      <c r="L285" s="18" t="n">
        <v>740.8099999999999</v>
      </c>
    </row>
    <row r="286">
      <c r="A286" s="16" t="inlineStr">
        <is>
          <t>ORD0282</t>
        </is>
      </c>
      <c r="B286" s="17" t="n">
        <v>45981</v>
      </c>
      <c r="C286" s="16" t="inlineStr">
        <is>
          <t>Backpack</t>
        </is>
      </c>
      <c r="D286" s="16" t="inlineStr">
        <is>
          <t>Fashion</t>
        </is>
      </c>
      <c r="E286" s="16" t="inlineStr">
        <is>
          <t>East</t>
        </is>
      </c>
      <c r="F286" s="16" t="inlineStr">
        <is>
          <t>Online</t>
        </is>
      </c>
      <c r="G286" s="16" t="n">
        <v>5</v>
      </c>
      <c r="H286" s="18" t="n">
        <v>1402.06</v>
      </c>
      <c r="I286" s="19" t="n">
        <v>0</v>
      </c>
      <c r="J286" s="18" t="n">
        <v>7010.3</v>
      </c>
      <c r="K286" s="18" t="n">
        <v>4949</v>
      </c>
      <c r="L286" s="18" t="n">
        <v>2061.3</v>
      </c>
    </row>
    <row r="287">
      <c r="A287" s="16" t="inlineStr">
        <is>
          <t>ORD0165</t>
        </is>
      </c>
      <c r="B287" s="17" t="n">
        <v>45986</v>
      </c>
      <c r="C287" s="16" t="inlineStr">
        <is>
          <t>Wallet</t>
        </is>
      </c>
      <c r="D287" s="16" t="inlineStr">
        <is>
          <t>Fashion</t>
        </is>
      </c>
      <c r="E287" s="16" t="inlineStr">
        <is>
          <t>North</t>
        </is>
      </c>
      <c r="F287" s="16" t="inlineStr">
        <is>
          <t>Online</t>
        </is>
      </c>
      <c r="G287" s="16" t="n">
        <v>5</v>
      </c>
      <c r="H287" s="18" t="n">
        <v>841.76</v>
      </c>
      <c r="I287" s="19" t="n">
        <v>0.15</v>
      </c>
      <c r="J287" s="18" t="n">
        <v>3577.48</v>
      </c>
      <c r="K287" s="18" t="n">
        <v>2350.9</v>
      </c>
      <c r="L287" s="18" t="n">
        <v>1226.58</v>
      </c>
    </row>
    <row r="288">
      <c r="A288" s="16" t="inlineStr">
        <is>
          <t>ORD0245</t>
        </is>
      </c>
      <c r="B288" s="17" t="n">
        <v>45987</v>
      </c>
      <c r="C288" s="16" t="inlineStr">
        <is>
          <t>Wallet</t>
        </is>
      </c>
      <c r="D288" s="16" t="inlineStr">
        <is>
          <t>Fashion</t>
        </is>
      </c>
      <c r="E288" s="16" t="inlineStr">
        <is>
          <t>South</t>
        </is>
      </c>
      <c r="F288" s="16" t="inlineStr">
        <is>
          <t>Wholesale</t>
        </is>
      </c>
      <c r="G288" s="16" t="n">
        <v>1</v>
      </c>
      <c r="H288" s="18" t="n">
        <v>892.73</v>
      </c>
      <c r="I288" s="19" t="n">
        <v>0.1</v>
      </c>
      <c r="J288" s="18" t="n">
        <v>803.46</v>
      </c>
      <c r="K288" s="18" t="n">
        <v>581.95</v>
      </c>
      <c r="L288" s="18" t="n">
        <v>221.51</v>
      </c>
    </row>
    <row r="289">
      <c r="A289" s="16" t="inlineStr">
        <is>
          <t>ORD0061</t>
        </is>
      </c>
      <c r="B289" s="17" t="n">
        <v>45987</v>
      </c>
      <c r="C289" s="16" t="inlineStr">
        <is>
          <t>Backpack</t>
        </is>
      </c>
      <c r="D289" s="16" t="inlineStr">
        <is>
          <t>Fashion</t>
        </is>
      </c>
      <c r="E289" s="16" t="inlineStr">
        <is>
          <t>East</t>
        </is>
      </c>
      <c r="F289" s="16" t="inlineStr">
        <is>
          <t>Wholesale</t>
        </is>
      </c>
      <c r="G289" s="16" t="n">
        <v>8</v>
      </c>
      <c r="H289" s="18" t="n">
        <v>1757.76</v>
      </c>
      <c r="I289" s="19" t="n">
        <v>0.15</v>
      </c>
      <c r="J289" s="18" t="n">
        <v>11952.77</v>
      </c>
      <c r="K289" s="18" t="n">
        <v>7875.35</v>
      </c>
      <c r="L289" s="18" t="n">
        <v>4077.42</v>
      </c>
    </row>
    <row r="290">
      <c r="A290" s="16" t="inlineStr">
        <is>
          <t>ORD0270</t>
        </is>
      </c>
      <c r="B290" s="17" t="n">
        <v>45988</v>
      </c>
      <c r="C290" s="16" t="inlineStr">
        <is>
          <t>T-Shirt</t>
        </is>
      </c>
      <c r="D290" s="16" t="inlineStr">
        <is>
          <t>Fashion</t>
        </is>
      </c>
      <c r="E290" s="16" t="inlineStr">
        <is>
          <t>North</t>
        </is>
      </c>
      <c r="F290" s="16" t="inlineStr">
        <is>
          <t>Store</t>
        </is>
      </c>
      <c r="G290" s="16" t="n">
        <v>5</v>
      </c>
      <c r="H290" s="18" t="n">
        <v>677.59</v>
      </c>
      <c r="I290" s="19" t="n">
        <v>0</v>
      </c>
      <c r="J290" s="18" t="n">
        <v>3387.95</v>
      </c>
      <c r="K290" s="18" t="n">
        <v>1834</v>
      </c>
      <c r="L290" s="18" t="n">
        <v>1553.95</v>
      </c>
    </row>
    <row r="291">
      <c r="A291" s="16" t="inlineStr">
        <is>
          <t>ORD0265</t>
        </is>
      </c>
      <c r="B291" s="17" t="n">
        <v>45992</v>
      </c>
      <c r="C291" s="16" t="inlineStr">
        <is>
          <t>Notebook Pack</t>
        </is>
      </c>
      <c r="D291" s="16" t="inlineStr">
        <is>
          <t>Stationery</t>
        </is>
      </c>
      <c r="E291" s="16" t="inlineStr">
        <is>
          <t>North</t>
        </is>
      </c>
      <c r="F291" s="16" t="inlineStr">
        <is>
          <t>Wholesale</t>
        </is>
      </c>
      <c r="G291" s="16" t="n">
        <v>3</v>
      </c>
      <c r="H291" s="18" t="n">
        <v>293.77</v>
      </c>
      <c r="I291" s="19" t="n">
        <v>0.05</v>
      </c>
      <c r="J291" s="18" t="n">
        <v>837.24</v>
      </c>
      <c r="K291" s="18" t="n">
        <v>438.77</v>
      </c>
      <c r="L291" s="18" t="n">
        <v>398.47</v>
      </c>
    </row>
    <row r="292">
      <c r="A292" s="16" t="inlineStr">
        <is>
          <t>ORD0298</t>
        </is>
      </c>
      <c r="B292" s="17" t="n">
        <v>45993</v>
      </c>
      <c r="C292" s="16" t="inlineStr">
        <is>
          <t>Wallet</t>
        </is>
      </c>
      <c r="D292" s="16" t="inlineStr">
        <is>
          <t>Fashion</t>
        </is>
      </c>
      <c r="E292" s="16" t="inlineStr">
        <is>
          <t>North</t>
        </is>
      </c>
      <c r="F292" s="16" t="inlineStr">
        <is>
          <t>Store</t>
        </is>
      </c>
      <c r="G292" s="16" t="n">
        <v>8</v>
      </c>
      <c r="H292" s="18" t="n">
        <v>765.78</v>
      </c>
      <c r="I292" s="19" t="n">
        <v>0</v>
      </c>
      <c r="J292" s="18" t="n">
        <v>6126.24</v>
      </c>
      <c r="K292" s="18" t="n">
        <v>4086.22</v>
      </c>
      <c r="L292" s="18" t="n">
        <v>2040.02</v>
      </c>
    </row>
    <row r="293">
      <c r="A293" s="16" t="inlineStr">
        <is>
          <t>ORD0035</t>
        </is>
      </c>
      <c r="B293" s="17" t="n">
        <v>45995</v>
      </c>
      <c r="C293" s="16" t="inlineStr">
        <is>
          <t>Markers</t>
        </is>
      </c>
      <c r="D293" s="16" t="inlineStr">
        <is>
          <t>Stationery</t>
        </is>
      </c>
      <c r="E293" s="16" t="inlineStr">
        <is>
          <t>East</t>
        </is>
      </c>
      <c r="F293" s="16" t="inlineStr">
        <is>
          <t>Store</t>
        </is>
      </c>
      <c r="G293" s="16" t="n">
        <v>5</v>
      </c>
      <c r="H293" s="18" t="n">
        <v>256.71</v>
      </c>
      <c r="I293" s="19" t="n">
        <v>0</v>
      </c>
      <c r="J293" s="18" t="n">
        <v>1283.55</v>
      </c>
      <c r="K293" s="18" t="n">
        <v>698.25</v>
      </c>
      <c r="L293" s="18" t="n">
        <v>585.3</v>
      </c>
    </row>
    <row r="294">
      <c r="A294" s="16" t="inlineStr">
        <is>
          <t>ORD0122</t>
        </is>
      </c>
      <c r="B294" s="17" t="n">
        <v>45998</v>
      </c>
      <c r="C294" s="16" t="inlineStr">
        <is>
          <t>Pens Set</t>
        </is>
      </c>
      <c r="D294" s="16" t="inlineStr">
        <is>
          <t>Stationery</t>
        </is>
      </c>
      <c r="E294" s="16" t="inlineStr">
        <is>
          <t>West</t>
        </is>
      </c>
      <c r="F294" s="16" t="inlineStr">
        <is>
          <t>Wholesale</t>
        </is>
      </c>
      <c r="G294" s="16" t="n">
        <v>8</v>
      </c>
      <c r="H294" s="18" t="n">
        <v>181.02</v>
      </c>
      <c r="I294" s="19" t="n">
        <v>0</v>
      </c>
      <c r="J294" s="18" t="n">
        <v>1448.16</v>
      </c>
      <c r="K294" s="18" t="n">
        <v>1075.14</v>
      </c>
      <c r="L294" s="18" t="n">
        <v>373.02</v>
      </c>
    </row>
    <row r="295">
      <c r="A295" s="16" t="inlineStr">
        <is>
          <t>ORD0295</t>
        </is>
      </c>
      <c r="B295" s="17" t="n">
        <v>46002</v>
      </c>
      <c r="C295" s="16" t="inlineStr">
        <is>
          <t>Storage Box</t>
        </is>
      </c>
      <c r="D295" s="16" t="inlineStr">
        <is>
          <t>Home &amp; Kitchen</t>
        </is>
      </c>
      <c r="E295" s="16" t="inlineStr">
        <is>
          <t>North</t>
        </is>
      </c>
      <c r="F295" s="16" t="inlineStr">
        <is>
          <t>Store</t>
        </is>
      </c>
      <c r="G295" s="16" t="n">
        <v>7</v>
      </c>
      <c r="H295" s="18" t="n">
        <v>847</v>
      </c>
      <c r="I295" s="19" t="n">
        <v>0.15</v>
      </c>
      <c r="J295" s="18" t="n">
        <v>5039.65</v>
      </c>
      <c r="K295" s="18" t="n">
        <v>3123.4</v>
      </c>
      <c r="L295" s="18" t="n">
        <v>1916.25</v>
      </c>
    </row>
    <row r="296">
      <c r="A296" s="16" t="inlineStr">
        <is>
          <t>ORD0121</t>
        </is>
      </c>
      <c r="B296" s="17" t="n">
        <v>46005</v>
      </c>
      <c r="C296" s="16" t="inlineStr">
        <is>
          <t>Backpack</t>
        </is>
      </c>
      <c r="D296" s="16" t="inlineStr">
        <is>
          <t>Fashion</t>
        </is>
      </c>
      <c r="E296" s="16" t="inlineStr">
        <is>
          <t>South</t>
        </is>
      </c>
      <c r="F296" s="16" t="inlineStr">
        <is>
          <t>Online</t>
        </is>
      </c>
      <c r="G296" s="16" t="n">
        <v>7</v>
      </c>
      <c r="H296" s="18" t="n">
        <v>1618.83</v>
      </c>
      <c r="I296" s="19" t="n">
        <v>0.1</v>
      </c>
      <c r="J296" s="18" t="n">
        <v>10198.63</v>
      </c>
      <c r="K296" s="18" t="n">
        <v>6935.78</v>
      </c>
      <c r="L296" s="18" t="n">
        <v>3262.85</v>
      </c>
    </row>
    <row r="297">
      <c r="A297" s="16" t="inlineStr">
        <is>
          <t>ORD0101</t>
        </is>
      </c>
      <c r="B297" s="17" t="n">
        <v>46006</v>
      </c>
      <c r="C297" s="16" t="inlineStr">
        <is>
          <t>Storage Box</t>
        </is>
      </c>
      <c r="D297" s="16" t="inlineStr">
        <is>
          <t>Home &amp; Kitchen</t>
        </is>
      </c>
      <c r="E297" s="16" t="inlineStr">
        <is>
          <t>East</t>
        </is>
      </c>
      <c r="F297" s="16" t="inlineStr">
        <is>
          <t>Wholesale</t>
        </is>
      </c>
      <c r="G297" s="16" t="n">
        <v>4</v>
      </c>
      <c r="H297" s="18" t="n">
        <v>919.6799999999999</v>
      </c>
      <c r="I297" s="19" t="n">
        <v>0.1</v>
      </c>
      <c r="J297" s="18" t="n">
        <v>3310.85</v>
      </c>
      <c r="K297" s="18" t="n">
        <v>1759.21</v>
      </c>
      <c r="L297" s="18" t="n">
        <v>1551.64</v>
      </c>
    </row>
    <row r="298">
      <c r="A298" s="16" t="inlineStr">
        <is>
          <t>ORD0037</t>
        </is>
      </c>
      <c r="B298" s="17" t="n">
        <v>46014</v>
      </c>
      <c r="C298" s="16" t="inlineStr">
        <is>
          <t>T-Shirt</t>
        </is>
      </c>
      <c r="D298" s="16" t="inlineStr">
        <is>
          <t>Fashion</t>
        </is>
      </c>
      <c r="E298" s="16" t="inlineStr">
        <is>
          <t>South</t>
        </is>
      </c>
      <c r="F298" s="16" t="inlineStr">
        <is>
          <t>Wholesale</t>
        </is>
      </c>
      <c r="G298" s="16" t="n">
        <v>2</v>
      </c>
      <c r="H298" s="18" t="n">
        <v>525.8</v>
      </c>
      <c r="I298" s="19" t="n">
        <v>0</v>
      </c>
      <c r="J298" s="18" t="n">
        <v>1051.6</v>
      </c>
      <c r="K298" s="18" t="n">
        <v>696.01</v>
      </c>
      <c r="L298" s="18" t="n">
        <v>355.59</v>
      </c>
    </row>
    <row r="299">
      <c r="A299" s="16" t="inlineStr">
        <is>
          <t>ORD0247</t>
        </is>
      </c>
      <c r="B299" s="17" t="n">
        <v>46016</v>
      </c>
      <c r="C299" s="16" t="inlineStr">
        <is>
          <t>Storage Box</t>
        </is>
      </c>
      <c r="D299" s="16" t="inlineStr">
        <is>
          <t>Home &amp; Kitchen</t>
        </is>
      </c>
      <c r="E299" s="16" t="inlineStr">
        <is>
          <t>North</t>
        </is>
      </c>
      <c r="F299" s="16" t="inlineStr">
        <is>
          <t>Store</t>
        </is>
      </c>
      <c r="G299" s="16" t="n">
        <v>1</v>
      </c>
      <c r="H299" s="18" t="n">
        <v>837.47</v>
      </c>
      <c r="I299" s="19" t="n">
        <v>0.1</v>
      </c>
      <c r="J299" s="18" t="n">
        <v>753.72</v>
      </c>
      <c r="K299" s="18" t="n">
        <v>501.14</v>
      </c>
      <c r="L299" s="18" t="n">
        <v>252.58</v>
      </c>
    </row>
    <row r="300">
      <c r="A300" s="16" t="inlineStr">
        <is>
          <t>ORD0190</t>
        </is>
      </c>
      <c r="B300" s="17" t="n">
        <v>46020</v>
      </c>
      <c r="C300" s="16" t="inlineStr">
        <is>
          <t>Desk Lamp</t>
        </is>
      </c>
      <c r="D300" s="16" t="inlineStr">
        <is>
          <t>Home &amp; Kitchen</t>
        </is>
      </c>
      <c r="E300" s="16" t="inlineStr">
        <is>
          <t>North</t>
        </is>
      </c>
      <c r="F300" s="16" t="inlineStr">
        <is>
          <t>Store</t>
        </is>
      </c>
      <c r="G300" s="16" t="n">
        <v>4</v>
      </c>
      <c r="H300" s="18" t="n">
        <v>1249.47</v>
      </c>
      <c r="I300" s="19" t="n">
        <v>0</v>
      </c>
      <c r="J300" s="18" t="n">
        <v>4997.88</v>
      </c>
      <c r="K300" s="18" t="n">
        <v>3628.15</v>
      </c>
      <c r="L300" s="18" t="n">
        <v>1369.73</v>
      </c>
    </row>
    <row r="301">
      <c r="A301" s="16" t="inlineStr">
        <is>
          <t>ORD0271</t>
        </is>
      </c>
      <c r="B301" s="17" t="n">
        <v>46020</v>
      </c>
      <c r="C301" s="16" t="inlineStr">
        <is>
          <t>Storage Box</t>
        </is>
      </c>
      <c r="D301" s="16" t="inlineStr">
        <is>
          <t>Home &amp; Kitchen</t>
        </is>
      </c>
      <c r="E301" s="16" t="inlineStr">
        <is>
          <t>South</t>
        </is>
      </c>
      <c r="F301" s="16" t="inlineStr">
        <is>
          <t>Store</t>
        </is>
      </c>
      <c r="G301" s="16" t="n">
        <v>6</v>
      </c>
      <c r="H301" s="18" t="n">
        <v>781</v>
      </c>
      <c r="I301" s="19" t="n">
        <v>0</v>
      </c>
      <c r="J301" s="18" t="n">
        <v>4686</v>
      </c>
      <c r="K301" s="18" t="n">
        <v>2443.05</v>
      </c>
      <c r="L301" s="18" t="n">
        <v>2242.95</v>
      </c>
    </row>
  </sheetData>
  <autoFilter ref="A1:L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" customWidth="1" min="4" max="4"/>
    <col width="20" customWidth="1" min="5" max="5"/>
    <col width="18" customWidth="1" min="6" max="6"/>
    <col width="3" customWidth="1" min="7" max="7"/>
    <col width="16" customWidth="1" min="8" max="8"/>
    <col width="18" customWidth="1" min="9" max="9"/>
    <col width="3" customWidth="1" min="10" max="10"/>
    <col width="18" customWidth="1" min="11" max="11"/>
    <col width="18" customWidth="1" min="12" max="12"/>
  </cols>
  <sheetData>
    <row r="1">
      <c r="A1" s="20" t="inlineStr">
        <is>
          <t>SALES DASHBOARD — ANALYSIS</t>
        </is>
      </c>
    </row>
    <row r="2"/>
    <row r="3">
      <c r="A3" s="21" t="inlineStr">
        <is>
          <t>Monthly Revenue</t>
        </is>
      </c>
      <c r="E3" s="22" t="inlineStr">
        <is>
          <t>Revenue by Category</t>
        </is>
      </c>
      <c r="H3" s="23" t="inlineStr">
        <is>
          <t>Revenue by Region</t>
        </is>
      </c>
      <c r="K3" s="24" t="inlineStr">
        <is>
          <t>KPI</t>
        </is>
      </c>
      <c r="L3" s="24" t="inlineStr">
        <is>
          <t>Value</t>
        </is>
      </c>
    </row>
    <row r="4">
      <c r="A4" s="25" t="inlineStr">
        <is>
          <t>Month</t>
        </is>
      </c>
      <c r="B4" s="25" t="inlineStr">
        <is>
          <t>Revenue (₹)</t>
        </is>
      </c>
      <c r="C4" s="25" t="inlineStr">
        <is>
          <t>Profit (₹)</t>
        </is>
      </c>
      <c r="E4" s="25" t="inlineStr">
        <is>
          <t>Category</t>
        </is>
      </c>
      <c r="F4" s="25" t="inlineStr">
        <is>
          <t>Revenue (₹)</t>
        </is>
      </c>
      <c r="H4" s="25" t="inlineStr">
        <is>
          <t>Region</t>
        </is>
      </c>
      <c r="I4" s="25" t="inlineStr">
        <is>
          <t>Revenue (₹)</t>
        </is>
      </c>
      <c r="K4" s="26" t="inlineStr">
        <is>
          <t>Total Revenue</t>
        </is>
      </c>
      <c r="L4" s="27">
        <f>SUM('Raw Data'!$J$2:$J$301)</f>
        <v/>
      </c>
    </row>
    <row r="5">
      <c r="A5" s="28" t="n">
        <v>45292</v>
      </c>
      <c r="B5" s="18">
        <f>SUMIFS('Raw Data'!$J$2:$J$301,'Raw Data'!$B$2:$B$301,"&gt;="&amp;A5,'Raw Data'!$B$2:$B$301,"&lt;"&amp;EDATE(A5,1))</f>
        <v/>
      </c>
      <c r="C5" s="18">
        <f>SUMIFS('Raw Data'!$L$2:$L$301,'Raw Data'!$B$2:$B$301,"&gt;="&amp;A5,'Raw Data'!$B$2:$B$301,"&lt;"&amp;EDATE(A5,1))</f>
        <v/>
      </c>
      <c r="E5" s="16" t="inlineStr">
        <is>
          <t>Electronics</t>
        </is>
      </c>
      <c r="F5" s="18">
        <f>SUMIF('Raw Data'!$D$2:$D$301,E5,'Raw Data'!$J$2:$J$301)</f>
        <v/>
      </c>
      <c r="H5" s="16" t="inlineStr">
        <is>
          <t>West</t>
        </is>
      </c>
      <c r="I5" s="18">
        <f>SUMIF('Raw Data'!$E$2:$E$301,H5,'Raw Data'!$J$2:$J$301)</f>
        <v/>
      </c>
      <c r="K5" s="26" t="inlineStr">
        <is>
          <t>Total Profit</t>
        </is>
      </c>
      <c r="L5" s="27">
        <f>SUM('Raw Data'!$L$2:$L$301)</f>
        <v/>
      </c>
    </row>
    <row r="6">
      <c r="A6" s="28" t="n">
        <v>45323</v>
      </c>
      <c r="B6" s="18">
        <f>SUMIFS('Raw Data'!$J$2:$J$301,'Raw Data'!$B$2:$B$301,"&gt;="&amp;A6,'Raw Data'!$B$2:$B$301,"&lt;"&amp;EDATE(A6,1))</f>
        <v/>
      </c>
      <c r="C6" s="18">
        <f>SUMIFS('Raw Data'!$L$2:$L$301,'Raw Data'!$B$2:$B$301,"&gt;="&amp;A6,'Raw Data'!$B$2:$B$301,"&lt;"&amp;EDATE(A6,1))</f>
        <v/>
      </c>
      <c r="E6" s="16" t="inlineStr">
        <is>
          <t>Home &amp; Kitchen</t>
        </is>
      </c>
      <c r="F6" s="18">
        <f>SUMIF('Raw Data'!$D$2:$D$301,E6,'Raw Data'!$J$2:$J$301)</f>
        <v/>
      </c>
      <c r="H6" s="16" t="inlineStr">
        <is>
          <t>North</t>
        </is>
      </c>
      <c r="I6" s="18">
        <f>SUMIF('Raw Data'!$E$2:$E$301,H6,'Raw Data'!$J$2:$J$301)</f>
        <v/>
      </c>
      <c r="K6" s="26" t="inlineStr">
        <is>
          <t>Orders</t>
        </is>
      </c>
      <c r="L6" s="29">
        <f>COUNTA('Raw Data'!$A$2:$A$301)</f>
        <v/>
      </c>
    </row>
    <row r="7">
      <c r="A7" s="28" t="n">
        <v>45352</v>
      </c>
      <c r="B7" s="18">
        <f>SUMIFS('Raw Data'!$J$2:$J$301,'Raw Data'!$B$2:$B$301,"&gt;="&amp;A7,'Raw Data'!$B$2:$B$301,"&lt;"&amp;EDATE(A7,1))</f>
        <v/>
      </c>
      <c r="C7" s="18">
        <f>SUMIFS('Raw Data'!$L$2:$L$301,'Raw Data'!$B$2:$B$301,"&gt;="&amp;A7,'Raw Data'!$B$2:$B$301,"&lt;"&amp;EDATE(A7,1))</f>
        <v/>
      </c>
      <c r="E7" s="16" t="inlineStr">
        <is>
          <t>Stationery</t>
        </is>
      </c>
      <c r="F7" s="18">
        <f>SUMIF('Raw Data'!$D$2:$D$301,E7,'Raw Data'!$J$2:$J$301)</f>
        <v/>
      </c>
      <c r="H7" s="16" t="inlineStr">
        <is>
          <t>South</t>
        </is>
      </c>
      <c r="I7" s="18">
        <f>SUMIF('Raw Data'!$E$2:$E$301,H7,'Raw Data'!$J$2:$J$301)</f>
        <v/>
      </c>
      <c r="K7" s="26" t="inlineStr">
        <is>
          <t>Units Sold</t>
        </is>
      </c>
      <c r="L7" s="29">
        <f>SUM('Raw Data'!$G$2:$G$301)</f>
        <v/>
      </c>
    </row>
    <row r="8">
      <c r="A8" s="28" t="n">
        <v>45383</v>
      </c>
      <c r="B8" s="18">
        <f>SUMIFS('Raw Data'!$J$2:$J$301,'Raw Data'!$B$2:$B$301,"&gt;="&amp;A8,'Raw Data'!$B$2:$B$301,"&lt;"&amp;EDATE(A8,1))</f>
        <v/>
      </c>
      <c r="C8" s="18">
        <f>SUMIFS('Raw Data'!$L$2:$L$301,'Raw Data'!$B$2:$B$301,"&gt;="&amp;A8,'Raw Data'!$B$2:$B$301,"&lt;"&amp;EDATE(A8,1))</f>
        <v/>
      </c>
      <c r="E8" s="16" t="inlineStr">
        <is>
          <t>Fashion</t>
        </is>
      </c>
      <c r="F8" s="18">
        <f>SUMIF('Raw Data'!$D$2:$D$301,E8,'Raw Data'!$J$2:$J$301)</f>
        <v/>
      </c>
      <c r="H8" s="16" t="inlineStr">
        <is>
          <t>East</t>
        </is>
      </c>
      <c r="I8" s="18">
        <f>SUMIF('Raw Data'!$E$2:$E$301,H8,'Raw Data'!$J$2:$J$301)</f>
        <v/>
      </c>
      <c r="K8" s="26" t="inlineStr">
        <is>
          <t>Profit Margin</t>
        </is>
      </c>
      <c r="L8" s="30">
        <f>IFERROR(L5/L4,0)</f>
        <v/>
      </c>
    </row>
    <row r="9">
      <c r="A9" s="28" t="n">
        <v>45413</v>
      </c>
      <c r="B9" s="18">
        <f>SUMIFS('Raw Data'!$J$2:$J$301,'Raw Data'!$B$2:$B$301,"&gt;="&amp;A9,'Raw Data'!$B$2:$B$301,"&lt;"&amp;EDATE(A9,1))</f>
        <v/>
      </c>
      <c r="C9" s="18">
        <f>SUMIFS('Raw Data'!$L$2:$L$301,'Raw Data'!$B$2:$B$301,"&gt;="&amp;A9,'Raw Data'!$B$2:$B$301,"&lt;"&amp;EDATE(A9,1))</f>
        <v/>
      </c>
    </row>
    <row r="10">
      <c r="A10" s="28" t="n">
        <v>45444</v>
      </c>
      <c r="B10" s="18">
        <f>SUMIFS('Raw Data'!$J$2:$J$301,'Raw Data'!$B$2:$B$301,"&gt;="&amp;A10,'Raw Data'!$B$2:$B$301,"&lt;"&amp;EDATE(A10,1))</f>
        <v/>
      </c>
      <c r="C10" s="18">
        <f>SUMIFS('Raw Data'!$L$2:$L$301,'Raw Data'!$B$2:$B$301,"&gt;="&amp;A10,'Raw Data'!$B$2:$B$301,"&lt;"&amp;EDATE(A10,1))</f>
        <v/>
      </c>
    </row>
    <row r="11">
      <c r="A11" s="28" t="n">
        <v>45474</v>
      </c>
      <c r="B11" s="18">
        <f>SUMIFS('Raw Data'!$J$2:$J$301,'Raw Data'!$B$2:$B$301,"&gt;="&amp;A11,'Raw Data'!$B$2:$B$301,"&lt;"&amp;EDATE(A11,1))</f>
        <v/>
      </c>
      <c r="C11" s="18">
        <f>SUMIFS('Raw Data'!$L$2:$L$301,'Raw Data'!$B$2:$B$301,"&gt;="&amp;A11,'Raw Data'!$B$2:$B$301,"&lt;"&amp;EDATE(A11,1))</f>
        <v/>
      </c>
    </row>
    <row r="12">
      <c r="A12" s="28" t="n">
        <v>45505</v>
      </c>
      <c r="B12" s="18">
        <f>SUMIFS('Raw Data'!$J$2:$J$301,'Raw Data'!$B$2:$B$301,"&gt;="&amp;A12,'Raw Data'!$B$2:$B$301,"&lt;"&amp;EDATE(A12,1))</f>
        <v/>
      </c>
      <c r="C12" s="18">
        <f>SUMIFS('Raw Data'!$L$2:$L$301,'Raw Data'!$B$2:$B$301,"&gt;="&amp;A12,'Raw Data'!$B$2:$B$301,"&lt;"&amp;EDATE(A12,1))</f>
        <v/>
      </c>
    </row>
    <row r="13">
      <c r="A13" s="28" t="n">
        <v>45536</v>
      </c>
      <c r="B13" s="18">
        <f>SUMIFS('Raw Data'!$J$2:$J$301,'Raw Data'!$B$2:$B$301,"&gt;="&amp;A13,'Raw Data'!$B$2:$B$301,"&lt;"&amp;EDATE(A13,1))</f>
        <v/>
      </c>
      <c r="C13" s="18">
        <f>SUMIFS('Raw Data'!$L$2:$L$301,'Raw Data'!$B$2:$B$301,"&gt;="&amp;A13,'Raw Data'!$B$2:$B$301,"&lt;"&amp;EDATE(A13,1))</f>
        <v/>
      </c>
    </row>
    <row r="14">
      <c r="A14" s="28" t="n">
        <v>45566</v>
      </c>
      <c r="B14" s="18">
        <f>SUMIFS('Raw Data'!$J$2:$J$301,'Raw Data'!$B$2:$B$301,"&gt;="&amp;A14,'Raw Data'!$B$2:$B$301,"&lt;"&amp;EDATE(A14,1))</f>
        <v/>
      </c>
      <c r="C14" s="18">
        <f>SUMIFS('Raw Data'!$L$2:$L$301,'Raw Data'!$B$2:$B$301,"&gt;="&amp;A14,'Raw Data'!$B$2:$B$301,"&lt;"&amp;EDATE(A14,1))</f>
        <v/>
      </c>
    </row>
    <row r="15">
      <c r="A15" s="28" t="n">
        <v>45597</v>
      </c>
      <c r="B15" s="18">
        <f>SUMIFS('Raw Data'!$J$2:$J$301,'Raw Data'!$B$2:$B$301,"&gt;="&amp;A15,'Raw Data'!$B$2:$B$301,"&lt;"&amp;EDATE(A15,1))</f>
        <v/>
      </c>
      <c r="C15" s="18">
        <f>SUMIFS('Raw Data'!$L$2:$L$301,'Raw Data'!$B$2:$B$301,"&gt;="&amp;A15,'Raw Data'!$B$2:$B$301,"&lt;"&amp;EDATE(A15,1))</f>
        <v/>
      </c>
    </row>
    <row r="16">
      <c r="A16" s="28" t="n">
        <v>45627</v>
      </c>
      <c r="B16" s="18">
        <f>SUMIFS('Raw Data'!$J$2:$J$301,'Raw Data'!$B$2:$B$301,"&gt;="&amp;A16,'Raw Data'!$B$2:$B$301,"&lt;"&amp;EDATE(A16,1))</f>
        <v/>
      </c>
      <c r="C16" s="18">
        <f>SUMIFS('Raw Data'!$L$2:$L$301,'Raw Data'!$B$2:$B$301,"&gt;="&amp;A16,'Raw Data'!$B$2:$B$301,"&lt;"&amp;EDATE(A16,1))</f>
        <v/>
      </c>
    </row>
    <row r="17">
      <c r="A17" s="28" t="n">
        <v>45658</v>
      </c>
      <c r="B17" s="18">
        <f>SUMIFS('Raw Data'!$J$2:$J$301,'Raw Data'!$B$2:$B$301,"&gt;="&amp;A17,'Raw Data'!$B$2:$B$301,"&lt;"&amp;EDATE(A17,1))</f>
        <v/>
      </c>
      <c r="C17" s="18">
        <f>SUMIFS('Raw Data'!$L$2:$L$301,'Raw Data'!$B$2:$B$301,"&gt;="&amp;A17,'Raw Data'!$B$2:$B$301,"&lt;"&amp;EDATE(A17,1))</f>
        <v/>
      </c>
    </row>
    <row r="18">
      <c r="A18" s="28" t="n">
        <v>45689</v>
      </c>
      <c r="B18" s="18">
        <f>SUMIFS('Raw Data'!$J$2:$J$301,'Raw Data'!$B$2:$B$301,"&gt;="&amp;A18,'Raw Data'!$B$2:$B$301,"&lt;"&amp;EDATE(A18,1))</f>
        <v/>
      </c>
      <c r="C18" s="18">
        <f>SUMIFS('Raw Data'!$L$2:$L$301,'Raw Data'!$B$2:$B$301,"&gt;="&amp;A18,'Raw Data'!$B$2:$B$301,"&lt;"&amp;EDATE(A18,1))</f>
        <v/>
      </c>
    </row>
    <row r="19">
      <c r="A19" s="28" t="n">
        <v>45717</v>
      </c>
      <c r="B19" s="18">
        <f>SUMIFS('Raw Data'!$J$2:$J$301,'Raw Data'!$B$2:$B$301,"&gt;="&amp;A19,'Raw Data'!$B$2:$B$301,"&lt;"&amp;EDATE(A19,1))</f>
        <v/>
      </c>
      <c r="C19" s="18">
        <f>SUMIFS('Raw Data'!$L$2:$L$301,'Raw Data'!$B$2:$B$301,"&gt;="&amp;A19,'Raw Data'!$B$2:$B$301,"&lt;"&amp;EDATE(A19,1))</f>
        <v/>
      </c>
    </row>
    <row r="20">
      <c r="A20" s="28" t="n">
        <v>45748</v>
      </c>
      <c r="B20" s="18">
        <f>SUMIFS('Raw Data'!$J$2:$J$301,'Raw Data'!$B$2:$B$301,"&gt;="&amp;A20,'Raw Data'!$B$2:$B$301,"&lt;"&amp;EDATE(A20,1))</f>
        <v/>
      </c>
      <c r="C20" s="18">
        <f>SUMIFS('Raw Data'!$L$2:$L$301,'Raw Data'!$B$2:$B$301,"&gt;="&amp;A20,'Raw Data'!$B$2:$B$301,"&lt;"&amp;EDATE(A20,1))</f>
        <v/>
      </c>
    </row>
    <row r="21">
      <c r="A21" s="28" t="n">
        <v>45778</v>
      </c>
      <c r="B21" s="18">
        <f>SUMIFS('Raw Data'!$J$2:$J$301,'Raw Data'!$B$2:$B$301,"&gt;="&amp;A21,'Raw Data'!$B$2:$B$301,"&lt;"&amp;EDATE(A21,1))</f>
        <v/>
      </c>
      <c r="C21" s="18">
        <f>SUMIFS('Raw Data'!$L$2:$L$301,'Raw Data'!$B$2:$B$301,"&gt;="&amp;A21,'Raw Data'!$B$2:$B$301,"&lt;"&amp;EDATE(A21,1))</f>
        <v/>
      </c>
    </row>
    <row r="22">
      <c r="A22" s="28" t="n">
        <v>45809</v>
      </c>
      <c r="B22" s="18">
        <f>SUMIFS('Raw Data'!$J$2:$J$301,'Raw Data'!$B$2:$B$301,"&gt;="&amp;A22,'Raw Data'!$B$2:$B$301,"&lt;"&amp;EDATE(A22,1))</f>
        <v/>
      </c>
      <c r="C22" s="18">
        <f>SUMIFS('Raw Data'!$L$2:$L$301,'Raw Data'!$B$2:$B$301,"&gt;="&amp;A22,'Raw Data'!$B$2:$B$301,"&lt;"&amp;EDATE(A22,1))</f>
        <v/>
      </c>
    </row>
    <row r="23">
      <c r="A23" s="28" t="n">
        <v>45839</v>
      </c>
      <c r="B23" s="18">
        <f>SUMIFS('Raw Data'!$J$2:$J$301,'Raw Data'!$B$2:$B$301,"&gt;="&amp;A23,'Raw Data'!$B$2:$B$301,"&lt;"&amp;EDATE(A23,1))</f>
        <v/>
      </c>
      <c r="C23" s="18">
        <f>SUMIFS('Raw Data'!$L$2:$L$301,'Raw Data'!$B$2:$B$301,"&gt;="&amp;A23,'Raw Data'!$B$2:$B$301,"&lt;"&amp;EDATE(A23,1))</f>
        <v/>
      </c>
    </row>
    <row r="24">
      <c r="A24" s="28" t="n">
        <v>45870</v>
      </c>
      <c r="B24" s="18">
        <f>SUMIFS('Raw Data'!$J$2:$J$301,'Raw Data'!$B$2:$B$301,"&gt;="&amp;A24,'Raw Data'!$B$2:$B$301,"&lt;"&amp;EDATE(A24,1))</f>
        <v/>
      </c>
      <c r="C24" s="18">
        <f>SUMIFS('Raw Data'!$L$2:$L$301,'Raw Data'!$B$2:$B$301,"&gt;="&amp;A24,'Raw Data'!$B$2:$B$301,"&lt;"&amp;EDATE(A24,1))</f>
        <v/>
      </c>
    </row>
    <row r="25">
      <c r="A25" s="28" t="n">
        <v>45901</v>
      </c>
      <c r="B25" s="18">
        <f>SUMIFS('Raw Data'!$J$2:$J$301,'Raw Data'!$B$2:$B$301,"&gt;="&amp;A25,'Raw Data'!$B$2:$B$301,"&lt;"&amp;EDATE(A25,1))</f>
        <v/>
      </c>
      <c r="C25" s="18">
        <f>SUMIFS('Raw Data'!$L$2:$L$301,'Raw Data'!$B$2:$B$301,"&gt;="&amp;A25,'Raw Data'!$B$2:$B$301,"&lt;"&amp;EDATE(A25,1))</f>
        <v/>
      </c>
    </row>
    <row r="26">
      <c r="A26" s="28" t="n">
        <v>45931</v>
      </c>
      <c r="B26" s="18">
        <f>SUMIFS('Raw Data'!$J$2:$J$301,'Raw Data'!$B$2:$B$301,"&gt;="&amp;A26,'Raw Data'!$B$2:$B$301,"&lt;"&amp;EDATE(A26,1))</f>
        <v/>
      </c>
      <c r="C26" s="18">
        <f>SUMIFS('Raw Data'!$L$2:$L$301,'Raw Data'!$B$2:$B$301,"&gt;="&amp;A26,'Raw Data'!$B$2:$B$301,"&lt;"&amp;EDATE(A26,1))</f>
        <v/>
      </c>
    </row>
    <row r="27">
      <c r="A27" s="28" t="n">
        <v>45962</v>
      </c>
      <c r="B27" s="18">
        <f>SUMIFS('Raw Data'!$J$2:$J$301,'Raw Data'!$B$2:$B$301,"&gt;="&amp;A27,'Raw Data'!$B$2:$B$301,"&lt;"&amp;EDATE(A27,1))</f>
        <v/>
      </c>
      <c r="C27" s="18">
        <f>SUMIFS('Raw Data'!$L$2:$L$301,'Raw Data'!$B$2:$B$301,"&gt;="&amp;A27,'Raw Data'!$B$2:$B$301,"&lt;"&amp;EDATE(A27,1))</f>
        <v/>
      </c>
    </row>
    <row r="28">
      <c r="A28" s="28" t="n">
        <v>45992</v>
      </c>
      <c r="B28" s="18">
        <f>SUMIFS('Raw Data'!$J$2:$J$301,'Raw Data'!$B$2:$B$301,"&gt;="&amp;A28,'Raw Data'!$B$2:$B$301,"&lt;"&amp;EDATE(A28,1))</f>
        <v/>
      </c>
      <c r="C28" s="18">
        <f>SUMIFS('Raw Data'!$L$2:$L$301,'Raw Data'!$B$2:$B$301,"&gt;="&amp;A28,'Raw Data'!$B$2:$B$301,"&lt;"&amp;EDATE(A28,1))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20" t="inlineStr">
        <is>
          <t>PROJECT GUIDE: RETAIL SALES DASHBOARD</t>
        </is>
      </c>
      <c r="B1" s="2" t="n"/>
    </row>
    <row r="2" ht="42" customHeight="1">
      <c r="A2" s="31" t="inlineStr">
        <is>
          <t>Project objective</t>
        </is>
      </c>
      <c r="B2" s="32" t="inlineStr">
        <is>
          <t>Analyze retail sales, profit, product categories, regions, and monthly trends in Excel.</t>
        </is>
      </c>
    </row>
    <row r="3" ht="42" customHeight="1">
      <c r="A3" s="31" t="inlineStr">
        <is>
          <t>Workbook sheets</t>
        </is>
      </c>
      <c r="B3" s="32" t="inlineStr">
        <is>
          <t>Dashboard: KPI cards and charts | Raw Data: 300 sample orders | Analysis: formula-driven summaries | Project Guide: instructions.</t>
        </is>
      </c>
    </row>
    <row r="4" ht="42" customHeight="1">
      <c r="A4" s="31" t="inlineStr">
        <is>
          <t>How to use the filter</t>
        </is>
      </c>
      <c r="B4" s="32" t="inlineStr">
        <is>
          <t>On Dashboard, select a category from cell C9. The selected category revenue KPI updates automatically.</t>
        </is>
      </c>
    </row>
    <row r="5" ht="42" customHeight="1">
      <c r="A5" s="31" t="inlineStr">
        <is>
          <t>Formulas included</t>
        </is>
      </c>
      <c r="B5" s="32" t="inlineStr">
        <is>
          <t>SUM, SUMIF, SUMIFS, COUNTA, IFERROR, EDATE. Formulas are visible in the Analysis sheet.</t>
        </is>
      </c>
    </row>
    <row r="6" ht="42" customHeight="1">
      <c r="A6" s="31" t="inlineStr">
        <is>
          <t>Charts included</t>
        </is>
      </c>
      <c r="B6" s="32" t="inlineStr">
        <is>
          <t>Column/bar chart: revenue by category | Line chart: monthly revenue trend | Pie chart: revenue share by region.</t>
        </is>
      </c>
    </row>
    <row r="7" ht="42" customHeight="1">
      <c r="A7" s="31" t="inlineStr">
        <is>
          <t>How to update data</t>
        </is>
      </c>
      <c r="B7" s="32" t="inlineStr">
        <is>
          <t>Paste new records into Raw Data using the same columns. If row count changes, extend formula ranges in Analysis.</t>
        </is>
      </c>
    </row>
    <row r="8" ht="42" customHeight="1">
      <c r="A8" s="31" t="inlineStr">
        <is>
          <t>Dataset note</t>
        </is>
      </c>
      <c r="B8" s="32" t="inlineStr">
        <is>
          <t>The included 300-row dataset is illustrative/simulated for demonstrating dashboard features; it is not represented as an original Kaggle/UCI download.</t>
        </is>
      </c>
    </row>
    <row r="9" ht="42" customHeight="1">
      <c r="A9" s="31" t="inlineStr">
        <is>
          <t>Possible public source</t>
        </is>
      </c>
      <c r="B9" s="32" t="inlineStr">
        <is>
          <t>UCI Online Retail dataset: https://archive.ics.uci.edu/dataset/352/online+retail. Use the original dataset if your exam requires a dataset downloaded from UCI/Kaggle.</t>
        </is>
      </c>
    </row>
    <row r="10" ht="42" customHeight="1">
      <c r="A10" s="31" t="inlineStr">
        <is>
          <t>Suggested submission name</t>
        </is>
      </c>
      <c r="B10" s="32" t="inlineStr">
        <is>
          <t>Harsh_ExcelDashboard.xlsx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2026-10-23T06:46:10Z</dcterms:created>
  <dcterms:modified xmlns:dcterms="http://purl.org/dc/terms/" xmlns:xsi="http://www.w3.org/2001/XMLSchema-instance" xsi:type="dcterms:W3CDTF">2026-10-23T06:46:10Z</dcterms:modified>
</cp:coreProperties>
</file>